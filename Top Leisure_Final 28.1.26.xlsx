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nancial Modelling Course\Investment Appraisal Places Leisure\"/>
    </mc:Choice>
  </mc:AlternateContent>
  <xr:revisionPtr revIDLastSave="0" documentId="13_ncr:1_{85E899A2-E129-4E11-8313-D6E02F06BCEF}" xr6:coauthVersionLast="47" xr6:coauthVersionMax="47" xr10:uidLastSave="{00000000-0000-0000-0000-000000000000}"/>
  <bookViews>
    <workbookView xWindow="-120" yWindow="-120" windowWidth="29040" windowHeight="15720" xr2:uid="{8564AA38-B90D-434C-BC74-F71946A12FC6}"/>
  </bookViews>
  <sheets>
    <sheet name="DASHBOARD" sheetId="4" r:id="rId1"/>
    <sheet name="Opreating Cashflow" sheetId="1" state="veryHidden" r:id="rId2"/>
    <sheet name="Data" sheetId="2" state="veryHidden" r:id="rId3"/>
    <sheet name="Opreating Cashflow (2)" sheetId="3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" l="1"/>
  <c r="E17" i="2"/>
  <c r="F17" i="2" s="1"/>
  <c r="V16" i="2"/>
  <c r="V15" i="2"/>
  <c r="B51" i="2"/>
  <c r="B60" i="2"/>
  <c r="B3" i="2"/>
  <c r="D25" i="1"/>
  <c r="C25" i="1"/>
  <c r="B25" i="1"/>
  <c r="B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15" i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B14" i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B13" i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B12" i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U34" i="1"/>
  <c r="T34" i="1"/>
  <c r="S34" i="1"/>
  <c r="R34" i="1"/>
  <c r="Q34" i="1"/>
  <c r="P34" i="1"/>
  <c r="N34" i="1"/>
  <c r="M34" i="1"/>
  <c r="L34" i="1"/>
  <c r="K34" i="1"/>
  <c r="J34" i="1"/>
  <c r="I34" i="1"/>
  <c r="G34" i="1"/>
  <c r="F34" i="1"/>
  <c r="E34" i="1"/>
  <c r="B33" i="1"/>
  <c r="B32" i="1"/>
  <c r="B31" i="1"/>
  <c r="D30" i="1"/>
  <c r="D34" i="1" s="1"/>
  <c r="C30" i="1"/>
  <c r="C34" i="1" s="1"/>
  <c r="B30" i="1"/>
  <c r="H17" i="2" l="1"/>
  <c r="I17" i="2" s="1"/>
  <c r="J17" i="2" s="1"/>
  <c r="K17" i="2" s="1"/>
  <c r="L17" i="2" s="1"/>
  <c r="M17" i="2" s="1"/>
  <c r="N17" i="2" s="1"/>
  <c r="O17" i="2" s="1"/>
  <c r="E27" i="2"/>
  <c r="E5" i="1" s="1"/>
  <c r="G27" i="2"/>
  <c r="G5" i="1" s="1"/>
  <c r="Q27" i="2"/>
  <c r="Q5" i="1" s="1"/>
  <c r="H27" i="2"/>
  <c r="H5" i="1" s="1"/>
  <c r="R27" i="2"/>
  <c r="R5" i="1" s="1"/>
  <c r="I27" i="2"/>
  <c r="I5" i="1" s="1"/>
  <c r="J27" i="2"/>
  <c r="J5" i="1" s="1"/>
  <c r="K27" i="2"/>
  <c r="K5" i="1" s="1"/>
  <c r="N27" i="2"/>
  <c r="N5" i="1" s="1"/>
  <c r="O27" i="2"/>
  <c r="O5" i="1" s="1"/>
  <c r="F27" i="2"/>
  <c r="F5" i="1" s="1"/>
  <c r="P27" i="2"/>
  <c r="P5" i="1" s="1"/>
  <c r="S27" i="2"/>
  <c r="S5" i="1" s="1"/>
  <c r="L27" i="2"/>
  <c r="L5" i="1" s="1"/>
  <c r="T27" i="2"/>
  <c r="T5" i="1" s="1"/>
  <c r="M27" i="2"/>
  <c r="M5" i="1" s="1"/>
  <c r="U27" i="2"/>
  <c r="U5" i="1" s="1"/>
  <c r="D27" i="2"/>
  <c r="D5" i="1" s="1"/>
  <c r="O26" i="2"/>
  <c r="O4" i="1" s="1"/>
  <c r="I28" i="2"/>
  <c r="I6" i="1" s="1"/>
  <c r="Q28" i="2"/>
  <c r="Q6" i="1" s="1"/>
  <c r="T26" i="2"/>
  <c r="T4" i="1" s="1"/>
  <c r="P33" i="2"/>
  <c r="F29" i="2"/>
  <c r="F7" i="1" s="1"/>
  <c r="D26" i="2"/>
  <c r="D4" i="1" s="1"/>
  <c r="K29" i="2"/>
  <c r="K7" i="1" s="1"/>
  <c r="N28" i="2"/>
  <c r="N6" i="1" s="1"/>
  <c r="K32" i="2"/>
  <c r="C29" i="2"/>
  <c r="C7" i="1" s="1"/>
  <c r="G26" i="2"/>
  <c r="G4" i="1" s="1"/>
  <c r="N29" i="2"/>
  <c r="N7" i="1" s="1"/>
  <c r="L26" i="2"/>
  <c r="L4" i="1" s="1"/>
  <c r="F28" i="2"/>
  <c r="F6" i="1" s="1"/>
  <c r="S29" i="2"/>
  <c r="S7" i="1" s="1"/>
  <c r="E26" i="2"/>
  <c r="E4" i="1" s="1"/>
  <c r="U26" i="2"/>
  <c r="U4" i="1" s="1"/>
  <c r="O28" i="2"/>
  <c r="O6" i="1" s="1"/>
  <c r="L29" i="2"/>
  <c r="L7" i="1" s="1"/>
  <c r="H33" i="2"/>
  <c r="F26" i="2"/>
  <c r="F4" i="1" s="1"/>
  <c r="N26" i="2"/>
  <c r="N4" i="1" s="1"/>
  <c r="C27" i="2"/>
  <c r="C5" i="1" s="1"/>
  <c r="H28" i="2"/>
  <c r="H6" i="1" s="1"/>
  <c r="P28" i="2"/>
  <c r="P6" i="1" s="1"/>
  <c r="E29" i="2"/>
  <c r="E7" i="1" s="1"/>
  <c r="M29" i="2"/>
  <c r="M7" i="1" s="1"/>
  <c r="U29" i="2"/>
  <c r="U7" i="1" s="1"/>
  <c r="E34" i="2"/>
  <c r="H26" i="2"/>
  <c r="H4" i="1" s="1"/>
  <c r="G29" i="2"/>
  <c r="G7" i="1" s="1"/>
  <c r="C32" i="2"/>
  <c r="G34" i="2"/>
  <c r="I26" i="2"/>
  <c r="I4" i="1" s="1"/>
  <c r="Q26" i="2"/>
  <c r="Q4" i="1" s="1"/>
  <c r="C28" i="2"/>
  <c r="C6" i="1" s="1"/>
  <c r="K28" i="2"/>
  <c r="K6" i="1" s="1"/>
  <c r="S28" i="2"/>
  <c r="S6" i="1" s="1"/>
  <c r="H29" i="2"/>
  <c r="H7" i="1" s="1"/>
  <c r="P29" i="2"/>
  <c r="P7" i="1" s="1"/>
  <c r="P26" i="2"/>
  <c r="P4" i="1" s="1"/>
  <c r="J28" i="2"/>
  <c r="J6" i="1" s="1"/>
  <c r="R28" i="2"/>
  <c r="R6" i="1" s="1"/>
  <c r="O29" i="2"/>
  <c r="O7" i="1" s="1"/>
  <c r="E32" i="2"/>
  <c r="J35" i="2"/>
  <c r="J26" i="2"/>
  <c r="J4" i="1" s="1"/>
  <c r="R26" i="2"/>
  <c r="R4" i="1" s="1"/>
  <c r="D28" i="2"/>
  <c r="D6" i="1" s="1"/>
  <c r="L28" i="2"/>
  <c r="L6" i="1" s="1"/>
  <c r="T28" i="2"/>
  <c r="T6" i="1" s="1"/>
  <c r="I29" i="2"/>
  <c r="I7" i="1" s="1"/>
  <c r="Q29" i="2"/>
  <c r="Q7" i="1" s="1"/>
  <c r="H32" i="2"/>
  <c r="C26" i="2"/>
  <c r="C4" i="1" s="1"/>
  <c r="K26" i="2"/>
  <c r="K4" i="1" s="1"/>
  <c r="S26" i="2"/>
  <c r="S4" i="1" s="1"/>
  <c r="E28" i="2"/>
  <c r="E6" i="1" s="1"/>
  <c r="M28" i="2"/>
  <c r="M6" i="1" s="1"/>
  <c r="U28" i="2"/>
  <c r="U6" i="1" s="1"/>
  <c r="J29" i="2"/>
  <c r="J7" i="1" s="1"/>
  <c r="R29" i="2"/>
  <c r="R7" i="1" s="1"/>
  <c r="P32" i="2"/>
  <c r="M26" i="2"/>
  <c r="M4" i="1" s="1"/>
  <c r="G28" i="2"/>
  <c r="G6" i="1" s="1"/>
  <c r="D29" i="2"/>
  <c r="D7" i="1" s="1"/>
  <c r="T29" i="2"/>
  <c r="T7" i="1" s="1"/>
  <c r="M32" i="2"/>
  <c r="J33" i="2"/>
  <c r="O34" i="2"/>
  <c r="D35" i="2"/>
  <c r="G32" i="2"/>
  <c r="O32" i="2"/>
  <c r="D33" i="2"/>
  <c r="L33" i="2"/>
  <c r="I34" i="2"/>
  <c r="Q34" i="2"/>
  <c r="F35" i="2"/>
  <c r="N35" i="2"/>
  <c r="I32" i="2"/>
  <c r="Q32" i="2"/>
  <c r="F33" i="2"/>
  <c r="N33" i="2"/>
  <c r="C34" i="2"/>
  <c r="K34" i="2"/>
  <c r="H35" i="2"/>
  <c r="P35" i="2"/>
  <c r="E33" i="2"/>
  <c r="M33" i="2"/>
  <c r="J34" i="2"/>
  <c r="R34" i="2"/>
  <c r="G35" i="2"/>
  <c r="O35" i="2"/>
  <c r="J32" i="2"/>
  <c r="R32" i="2"/>
  <c r="G33" i="2"/>
  <c r="O33" i="2"/>
  <c r="D34" i="2"/>
  <c r="L34" i="2"/>
  <c r="I35" i="2"/>
  <c r="Q35" i="2"/>
  <c r="M34" i="2"/>
  <c r="R35" i="2"/>
  <c r="D32" i="2"/>
  <c r="L32" i="2"/>
  <c r="I33" i="2"/>
  <c r="Q33" i="2"/>
  <c r="F34" i="2"/>
  <c r="N34" i="2"/>
  <c r="C35" i="2"/>
  <c r="K35" i="2"/>
  <c r="R33" i="2"/>
  <c r="L35" i="2"/>
  <c r="F32" i="2"/>
  <c r="N32" i="2"/>
  <c r="C33" i="2"/>
  <c r="K33" i="2"/>
  <c r="H34" i="2"/>
  <c r="P34" i="2"/>
  <c r="E35" i="2"/>
  <c r="M35" i="2"/>
  <c r="B34" i="1"/>
  <c r="B46" i="2" s="1"/>
  <c r="O34" i="1"/>
  <c r="H34" i="1"/>
  <c r="P17" i="2" l="1"/>
  <c r="Q17" i="2" s="1"/>
  <c r="R17" i="2" s="1"/>
  <c r="S17" i="2" s="1"/>
  <c r="T17" i="2" s="1"/>
  <c r="U17" i="2" s="1"/>
  <c r="U30" i="3"/>
  <c r="T30" i="3"/>
  <c r="S30" i="3"/>
  <c r="R30" i="3"/>
  <c r="Q30" i="3"/>
  <c r="P30" i="3"/>
  <c r="N30" i="3"/>
  <c r="M30" i="3"/>
  <c r="L30" i="3"/>
  <c r="K30" i="3"/>
  <c r="J30" i="3"/>
  <c r="I30" i="3"/>
  <c r="G30" i="3"/>
  <c r="F30" i="3"/>
  <c r="E30" i="3"/>
  <c r="C30" i="3"/>
  <c r="B29" i="3"/>
  <c r="H29" i="3" s="1"/>
  <c r="O29" i="3" s="1"/>
  <c r="B28" i="3"/>
  <c r="H28" i="3" s="1"/>
  <c r="O28" i="3" s="1"/>
  <c r="B27" i="3"/>
  <c r="B30" i="3" s="1"/>
  <c r="D26" i="3"/>
  <c r="D30" i="3" s="1"/>
  <c r="C26" i="3"/>
  <c r="B26" i="3"/>
  <c r="C18" i="3"/>
  <c r="D18" i="3"/>
  <c r="E18" i="3"/>
  <c r="F18" i="3"/>
  <c r="G18" i="3"/>
  <c r="G20" i="3" s="1"/>
  <c r="H18" i="3"/>
  <c r="H20" i="3" s="1"/>
  <c r="I18" i="3"/>
  <c r="I20" i="3" s="1"/>
  <c r="J18" i="3"/>
  <c r="K18" i="3"/>
  <c r="K20" i="3" s="1"/>
  <c r="L18" i="3"/>
  <c r="L20" i="3" s="1"/>
  <c r="M18" i="3"/>
  <c r="N18" i="3"/>
  <c r="O18" i="3"/>
  <c r="O20" i="3" s="1"/>
  <c r="P18" i="3"/>
  <c r="P20" i="3" s="1"/>
  <c r="Q18" i="3"/>
  <c r="R18" i="3"/>
  <c r="S18" i="3"/>
  <c r="T18" i="3"/>
  <c r="U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R20" i="3" s="1"/>
  <c r="S19" i="3"/>
  <c r="S20" i="3" s="1"/>
  <c r="T19" i="3"/>
  <c r="U19" i="3"/>
  <c r="B19" i="3"/>
  <c r="B18" i="3"/>
  <c r="B15" i="3"/>
  <c r="C15" i="3" s="1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B14" i="3"/>
  <c r="C14" i="3" s="1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B13" i="3"/>
  <c r="C13" i="3" s="1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B12" i="3"/>
  <c r="C19" i="1"/>
  <c r="C20" i="1" s="1"/>
  <c r="C20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B20" i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J20" i="3" l="1"/>
  <c r="M20" i="3"/>
  <c r="H27" i="3"/>
  <c r="F20" i="3"/>
  <c r="U20" i="3"/>
  <c r="E20" i="3"/>
  <c r="T20" i="3"/>
  <c r="D20" i="3"/>
  <c r="N20" i="3"/>
  <c r="Q20" i="3"/>
  <c r="V17" i="2"/>
  <c r="P1" i="1"/>
  <c r="B1" i="1"/>
  <c r="J1" i="1"/>
  <c r="R1" i="1"/>
  <c r="C1" i="1"/>
  <c r="K1" i="1"/>
  <c r="S1" i="1"/>
  <c r="H1" i="1"/>
  <c r="D1" i="1"/>
  <c r="L1" i="1"/>
  <c r="T1" i="1"/>
  <c r="I1" i="1"/>
  <c r="E1" i="1"/>
  <c r="M1" i="1"/>
  <c r="U1" i="1"/>
  <c r="Q1" i="1"/>
  <c r="F1" i="1"/>
  <c r="N1" i="1"/>
  <c r="G1" i="1"/>
  <c r="O1" i="1"/>
  <c r="D8" i="1"/>
  <c r="G8" i="3"/>
  <c r="O8" i="3"/>
  <c r="H8" i="3"/>
  <c r="P8" i="3"/>
  <c r="I8" i="3"/>
  <c r="Q8" i="3"/>
  <c r="B1" i="3"/>
  <c r="J1" i="3"/>
  <c r="R1" i="3"/>
  <c r="C1" i="3"/>
  <c r="S1" i="3"/>
  <c r="M1" i="3"/>
  <c r="U1" i="3"/>
  <c r="F1" i="3"/>
  <c r="N1" i="3"/>
  <c r="J8" i="3"/>
  <c r="H1" i="3"/>
  <c r="P1" i="3"/>
  <c r="D8" i="3"/>
  <c r="L8" i="3"/>
  <c r="T8" i="3"/>
  <c r="K1" i="3"/>
  <c r="E1" i="3"/>
  <c r="I1" i="3"/>
  <c r="Q1" i="3"/>
  <c r="E8" i="3"/>
  <c r="M8" i="3"/>
  <c r="U8" i="3"/>
  <c r="F8" i="3"/>
  <c r="D1" i="3"/>
  <c r="L1" i="3"/>
  <c r="T1" i="3"/>
  <c r="N8" i="3"/>
  <c r="B8" i="3"/>
  <c r="R8" i="3"/>
  <c r="G1" i="3"/>
  <c r="O1" i="3"/>
  <c r="C8" i="3"/>
  <c r="K8" i="3"/>
  <c r="S8" i="3"/>
  <c r="D19" i="1"/>
  <c r="E19" i="1" s="1"/>
  <c r="E20" i="1" s="1"/>
  <c r="G8" i="1"/>
  <c r="B20" i="3"/>
  <c r="B16" i="3"/>
  <c r="C12" i="3"/>
  <c r="D12" i="3" s="1"/>
  <c r="D16" i="3" s="1"/>
  <c r="C16" i="1"/>
  <c r="B16" i="1"/>
  <c r="E16" i="1"/>
  <c r="D16" i="1"/>
  <c r="C8" i="1"/>
  <c r="E8" i="1"/>
  <c r="O27" i="3" l="1"/>
  <c r="O30" i="3" s="1"/>
  <c r="H30" i="3"/>
  <c r="E12" i="3"/>
  <c r="E16" i="3" s="1"/>
  <c r="E22" i="3" s="1"/>
  <c r="C16" i="3"/>
  <c r="C22" i="3" s="1"/>
  <c r="D22" i="3"/>
  <c r="B22" i="3"/>
  <c r="C22" i="1"/>
  <c r="C27" i="1" s="1"/>
  <c r="C36" i="1" s="1"/>
  <c r="F19" i="1"/>
  <c r="G19" i="1" s="1"/>
  <c r="E22" i="1"/>
  <c r="D20" i="1"/>
  <c r="D22" i="1" s="1"/>
  <c r="F20" i="1"/>
  <c r="F16" i="1"/>
  <c r="F8" i="1"/>
  <c r="C24" i="2" l="1"/>
  <c r="G24" i="2"/>
  <c r="D24" i="2"/>
  <c r="F12" i="3"/>
  <c r="F16" i="3" s="1"/>
  <c r="F22" i="3" s="1"/>
  <c r="E24" i="2"/>
  <c r="E27" i="1"/>
  <c r="E36" i="1" s="1"/>
  <c r="F22" i="1"/>
  <c r="F27" i="1" s="1"/>
  <c r="F36" i="1" s="1"/>
  <c r="G20" i="1"/>
  <c r="H19" i="1"/>
  <c r="G16" i="1"/>
  <c r="G22" i="1" s="1"/>
  <c r="H8" i="1"/>
  <c r="F24" i="2" l="1"/>
  <c r="G12" i="3"/>
  <c r="H12" i="3" s="1"/>
  <c r="G24" i="1"/>
  <c r="H20" i="1"/>
  <c r="I19" i="1"/>
  <c r="H16" i="1"/>
  <c r="H22" i="1" s="1"/>
  <c r="I8" i="1"/>
  <c r="G16" i="3" l="1"/>
  <c r="G22" i="3" s="1"/>
  <c r="H24" i="2"/>
  <c r="J8" i="1"/>
  <c r="H27" i="1"/>
  <c r="H36" i="1" s="1"/>
  <c r="J19" i="1"/>
  <c r="I20" i="1"/>
  <c r="I12" i="3"/>
  <c r="H16" i="3"/>
  <c r="H22" i="3" s="1"/>
  <c r="I16" i="1"/>
  <c r="I22" i="1" s="1"/>
  <c r="I27" i="1" s="1"/>
  <c r="I36" i="1" s="1"/>
  <c r="I24" i="2" l="1"/>
  <c r="K8" i="1"/>
  <c r="K19" i="1"/>
  <c r="J20" i="1"/>
  <c r="J12" i="3"/>
  <c r="I16" i="3"/>
  <c r="I22" i="3" s="1"/>
  <c r="J16" i="1"/>
  <c r="J22" i="1" s="1"/>
  <c r="J24" i="1" s="1"/>
  <c r="J24" i="2" l="1"/>
  <c r="L8" i="1"/>
  <c r="K20" i="1"/>
  <c r="L19" i="1"/>
  <c r="K12" i="3"/>
  <c r="J16" i="3"/>
  <c r="J22" i="3" s="1"/>
  <c r="K16" i="1"/>
  <c r="K22" i="1" s="1"/>
  <c r="K24" i="2" l="1"/>
  <c r="M8" i="1"/>
  <c r="K27" i="1"/>
  <c r="K36" i="1" s="1"/>
  <c r="L20" i="1"/>
  <c r="M19" i="1"/>
  <c r="L12" i="3"/>
  <c r="K16" i="3"/>
  <c r="K22" i="3" s="1"/>
  <c r="L16" i="1"/>
  <c r="L22" i="1" s="1"/>
  <c r="L27" i="1" s="1"/>
  <c r="L36" i="1" s="1"/>
  <c r="L24" i="2" l="1"/>
  <c r="N8" i="1"/>
  <c r="M20" i="1"/>
  <c r="N19" i="1"/>
  <c r="M12" i="3"/>
  <c r="L16" i="3"/>
  <c r="L22" i="3" s="1"/>
  <c r="M16" i="1"/>
  <c r="M22" i="1" s="1"/>
  <c r="M24" i="1" s="1"/>
  <c r="M24" i="2" l="1"/>
  <c r="O8" i="1"/>
  <c r="N20" i="1"/>
  <c r="O19" i="1"/>
  <c r="M16" i="3"/>
  <c r="M22" i="3" s="1"/>
  <c r="N12" i="3"/>
  <c r="N16" i="1"/>
  <c r="N22" i="1" s="1"/>
  <c r="N24" i="2" l="1"/>
  <c r="P8" i="1"/>
  <c r="N27" i="1"/>
  <c r="N36" i="1" s="1"/>
  <c r="O20" i="1"/>
  <c r="P19" i="1"/>
  <c r="O12" i="3"/>
  <c r="N16" i="3"/>
  <c r="N22" i="3" s="1"/>
  <c r="O16" i="1"/>
  <c r="O22" i="1" s="1"/>
  <c r="O27" i="1" s="1"/>
  <c r="O36" i="1" s="1"/>
  <c r="O24" i="2" l="1"/>
  <c r="Q8" i="1"/>
  <c r="Q19" i="1"/>
  <c r="P20" i="1"/>
  <c r="O16" i="3"/>
  <c r="O22" i="3" s="1"/>
  <c r="P12" i="3"/>
  <c r="P16" i="1"/>
  <c r="P22" i="1" s="1"/>
  <c r="P24" i="1" s="1"/>
  <c r="P24" i="2" l="1"/>
  <c r="R8" i="1"/>
  <c r="R19" i="1"/>
  <c r="Q20" i="1"/>
  <c r="Q12" i="3"/>
  <c r="P16" i="3"/>
  <c r="P22" i="3" s="1"/>
  <c r="Q16" i="1"/>
  <c r="Q22" i="1" s="1"/>
  <c r="Q24" i="2" l="1"/>
  <c r="S8" i="1"/>
  <c r="Q27" i="1"/>
  <c r="Q36" i="1" s="1"/>
  <c r="S19" i="1"/>
  <c r="R20" i="1"/>
  <c r="R12" i="3"/>
  <c r="Q16" i="3"/>
  <c r="Q22" i="3" s="1"/>
  <c r="R16" i="1"/>
  <c r="R22" i="1" s="1"/>
  <c r="R27" i="1" s="1"/>
  <c r="R36" i="1" s="1"/>
  <c r="S32" i="2" l="1"/>
  <c r="S33" i="2"/>
  <c r="S35" i="2"/>
  <c r="S34" i="2"/>
  <c r="R24" i="2"/>
  <c r="T8" i="1"/>
  <c r="T19" i="1"/>
  <c r="S20" i="1"/>
  <c r="S12" i="3"/>
  <c r="R16" i="3"/>
  <c r="R22" i="3" s="1"/>
  <c r="S16" i="1"/>
  <c r="S22" i="1" s="1"/>
  <c r="S24" i="1" s="1"/>
  <c r="T33" i="2" l="1"/>
  <c r="T32" i="2"/>
  <c r="T35" i="2"/>
  <c r="T34" i="2"/>
  <c r="S24" i="2"/>
  <c r="U8" i="1"/>
  <c r="T20" i="1"/>
  <c r="U19" i="1"/>
  <c r="U20" i="1" s="1"/>
  <c r="T12" i="3"/>
  <c r="S16" i="3"/>
  <c r="S22" i="3" s="1"/>
  <c r="U16" i="1"/>
  <c r="T16" i="1"/>
  <c r="T22" i="1" s="1"/>
  <c r="T27" i="1" s="1"/>
  <c r="T36" i="1" s="1"/>
  <c r="U32" i="2" l="1"/>
  <c r="U33" i="2"/>
  <c r="U35" i="2"/>
  <c r="U34" i="2"/>
  <c r="T24" i="2"/>
  <c r="U22" i="1"/>
  <c r="U27" i="1" s="1"/>
  <c r="U36" i="1" s="1"/>
  <c r="U12" i="3"/>
  <c r="U16" i="3" s="1"/>
  <c r="U22" i="3" s="1"/>
  <c r="T16" i="3"/>
  <c r="T22" i="3" s="1"/>
  <c r="U24" i="2" l="1"/>
  <c r="G27" i="1"/>
  <c r="G36" i="1" s="1"/>
  <c r="J27" i="1"/>
  <c r="J36" i="1" s="1"/>
  <c r="M27" i="1"/>
  <c r="M36" i="1" s="1"/>
  <c r="P27" i="1"/>
  <c r="P36" i="1" s="1"/>
  <c r="S27" i="1"/>
  <c r="S36" i="1" s="1"/>
  <c r="B35" i="2" l="1"/>
  <c r="B29" i="2"/>
  <c r="B7" i="1" s="1"/>
  <c r="B27" i="2"/>
  <c r="B5" i="1" s="1"/>
  <c r="B33" i="2"/>
  <c r="B24" i="2"/>
  <c r="B32" i="2"/>
  <c r="B34" i="2"/>
  <c r="B26" i="2"/>
  <c r="B4" i="1" s="1"/>
  <c r="B28" i="2"/>
  <c r="B6" i="1" s="1"/>
  <c r="B8" i="1" l="1"/>
  <c r="B22" i="1" s="1"/>
  <c r="B27" i="1" s="1"/>
  <c r="D24" i="1" l="1"/>
  <c r="D27" i="1" s="1"/>
  <c r="B36" i="1"/>
  <c r="D36" i="1" l="1"/>
  <c r="B34" i="4" s="1"/>
  <c r="B47" i="2"/>
  <c r="B48" i="2" s="1"/>
  <c r="C37" i="1"/>
  <c r="D37" i="1" l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</calcChain>
</file>

<file path=xl/sharedStrings.xml><?xml version="1.0" encoding="utf-8"?>
<sst xmlns="http://schemas.openxmlformats.org/spreadsheetml/2006/main" count="153" uniqueCount="103">
  <si>
    <t>Interim Facility Revenue</t>
  </si>
  <si>
    <t>New flagship Revenue</t>
  </si>
  <si>
    <t>Health &amp; Fitness (Small)</t>
  </si>
  <si>
    <t>Golf Centre</t>
  </si>
  <si>
    <t>Sensitivity</t>
  </si>
  <si>
    <t>Worst Case</t>
  </si>
  <si>
    <t>Best Case</t>
  </si>
  <si>
    <t>Descriptions</t>
  </si>
  <si>
    <t>Vlookup</t>
  </si>
  <si>
    <t>No of Years</t>
  </si>
  <si>
    <t>TOTAL REVENUE</t>
  </si>
  <si>
    <t>Operating Expenditure</t>
  </si>
  <si>
    <t>Staff Cost</t>
  </si>
  <si>
    <t>REVENUE</t>
  </si>
  <si>
    <t>OPERATING EXPENDITURE</t>
  </si>
  <si>
    <t>Utilites</t>
  </si>
  <si>
    <t>Repairs &amp; Maintenance</t>
  </si>
  <si>
    <t>Other opex</t>
  </si>
  <si>
    <t>TOTAL OPERATING EXPENDITURE</t>
  </si>
  <si>
    <t>Depreciation</t>
  </si>
  <si>
    <t>Borrowing Cost</t>
  </si>
  <si>
    <t>Total Non-Operating EXPENDITURE</t>
  </si>
  <si>
    <t>OPERATING SURPLUS</t>
  </si>
  <si>
    <t>CAPITAL INVESTMENTS</t>
  </si>
  <si>
    <t>New leisure centre enhancements</t>
  </si>
  <si>
    <t>TOTAL CAPITAL INVESTMENTS</t>
  </si>
  <si>
    <t>Management Fee</t>
  </si>
  <si>
    <t>Gainshare</t>
  </si>
  <si>
    <t>NET OPERATING CASHFLOW</t>
  </si>
  <si>
    <t>FREE CASHFLOW</t>
  </si>
  <si>
    <t>CUMULATIVE CASHFLOW</t>
  </si>
  <si>
    <t>NPV</t>
  </si>
  <si>
    <t>Revenue</t>
  </si>
  <si>
    <t>Base Case</t>
  </si>
  <si>
    <t>Growth Rate</t>
  </si>
  <si>
    <t>INITIAL INVESTMENT</t>
  </si>
  <si>
    <t>VALUE CREATION</t>
  </si>
  <si>
    <t>IRR</t>
  </si>
  <si>
    <t>Delay in Centre opening</t>
  </si>
  <si>
    <t>Delay in project by years</t>
  </si>
  <si>
    <t xml:space="preserve">Scenario </t>
  </si>
  <si>
    <t>WACC</t>
  </si>
  <si>
    <t>Overview -</t>
  </si>
  <si>
    <t>Investment appraisal to investigate if this project will generate more money than</t>
  </si>
  <si>
    <t>WACC -</t>
  </si>
  <si>
    <t>Gainshare -</t>
  </si>
  <si>
    <t xml:space="preserve">The operator pays the authority based on three-year rolling return. Reward to the </t>
  </si>
  <si>
    <t>operator from authority is ignored.</t>
  </si>
  <si>
    <t>Early Years -</t>
  </si>
  <si>
    <t>Expenditure -</t>
  </si>
  <si>
    <t>These expenses are broken down as - Staff Cost 45%, Utilities 25%, R&amp;M 25%,</t>
  </si>
  <si>
    <t>Capex -</t>
  </si>
  <si>
    <t xml:space="preserve">In year 10 and year 18, additional capex expenditure is projected as these sites will </t>
  </si>
  <si>
    <t>need some maintenance of capital in nature.</t>
  </si>
  <si>
    <t>Capital Structure -</t>
  </si>
  <si>
    <t>Capital strucutre forms an important part in understanding what is the WACC which is used for</t>
  </si>
  <si>
    <t>calculating the value which this project will generate.</t>
  </si>
  <si>
    <t>Local Area -</t>
  </si>
  <si>
    <t>It is important to know in which area are these sites operating as the local area has a impact</t>
  </si>
  <si>
    <t xml:space="preserve">on the cashflow and the risk premium in calculating the cost of equity. </t>
  </si>
  <si>
    <t>Business Rates -</t>
  </si>
  <si>
    <t>As we are working with the authority will we have any rebate in the business rates?</t>
  </si>
  <si>
    <t>How does the reward for the operator work?</t>
  </si>
  <si>
    <t>Revenue Weights -</t>
  </si>
  <si>
    <t xml:space="preserve">Revenue contributions are weighted with the new site as the higest contibutor, </t>
  </si>
  <si>
    <t>followed by the smaller site, and then the golf centre.</t>
  </si>
  <si>
    <t>Reward Contracts -</t>
  </si>
  <si>
    <t xml:space="preserve">Rewards to the operator have been ignored as need more information to understand the </t>
  </si>
  <si>
    <t xml:space="preserve">structure of rewards and how do they operate. </t>
  </si>
  <si>
    <t>Borrowing Costs -</t>
  </si>
  <si>
    <t>Details on borrowing costs to understand the covenants in case if they impact free cashflow.</t>
  </si>
  <si>
    <t>Have increased by 1% each year.</t>
  </si>
  <si>
    <t>Scenarios -</t>
  </si>
  <si>
    <t>Base Case £116m, Worst Case £161m, Best Case £173m.</t>
  </si>
  <si>
    <t>The model assumes early years to be the first three years.</t>
  </si>
  <si>
    <t>The perating expenditure is assumed to increased by 2.5% each year to reflect inflation.</t>
  </si>
  <si>
    <t>Other operating expenditures 10%</t>
  </si>
  <si>
    <t>Management Fee -</t>
  </si>
  <si>
    <t>Details on indexation rules, fee calculation formula and timelines on fixed fee structures.</t>
  </si>
  <si>
    <t>Non Financial Risk -</t>
  </si>
  <si>
    <t>Authority's past behaviour in similar contracts, any budgetary pressures and their risk appetite.</t>
  </si>
  <si>
    <t>Capex Details -</t>
  </si>
  <si>
    <t>Timing and phasing of £9.62m initial investment. Maintenance obligation and lifestyle cost expectations.</t>
  </si>
  <si>
    <r>
      <t>liqudity risks are mitigated or unless it offers strategic value or clear synergies with the wider group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</si>
  <si>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Based on the financial modelling and available information, I would recommend investing in this project, only if </t>
    </r>
    <r>
      <rPr>
        <b/>
        <sz val="8"/>
        <color theme="1"/>
        <rFont val="Calibri"/>
        <family val="2"/>
        <scheme val="minor"/>
      </rPr>
      <t>timing and</t>
    </r>
    <r>
      <rPr>
        <sz val="8"/>
        <color theme="1"/>
        <rFont val="Calibri"/>
        <family val="2"/>
        <scheme val="minor"/>
      </rPr>
      <t xml:space="preserve">  </t>
    </r>
  </si>
  <si>
    <r>
      <t xml:space="preserve">In the </t>
    </r>
    <r>
      <rPr>
        <b/>
        <sz val="8"/>
        <color theme="1"/>
        <rFont val="Calibri"/>
        <family val="2"/>
        <scheme val="minor"/>
      </rPr>
      <t>base case</t>
    </r>
    <r>
      <rPr>
        <sz val="8"/>
        <color theme="1"/>
        <rFont val="Calibri"/>
        <family val="2"/>
        <scheme val="minor"/>
      </rPr>
      <t>, the project starts generating surplus cash only after year 5, and requires up to</t>
    </r>
    <r>
      <rPr>
        <b/>
        <sz val="8"/>
        <color theme="1"/>
        <rFont val="Calibri"/>
        <family val="2"/>
        <scheme val="minor"/>
      </rPr>
      <t xml:space="preserve"> £7m in liquidity beyond the</t>
    </r>
  </si>
  <si>
    <r>
      <t xml:space="preserve">initial investment. This assumes the project is delivered on time. If the project is </t>
    </r>
    <r>
      <rPr>
        <b/>
        <sz val="8"/>
        <color theme="1"/>
        <rFont val="Calibri"/>
        <family val="2"/>
        <scheme val="minor"/>
      </rPr>
      <t>delayed by just one year surplus cash is pushed</t>
    </r>
  </si>
  <si>
    <r>
      <t>In the</t>
    </r>
    <r>
      <rPr>
        <b/>
        <sz val="8"/>
        <color theme="1"/>
        <rFont val="Calibri"/>
        <family val="2"/>
        <scheme val="minor"/>
      </rPr>
      <t xml:space="preserve"> worst-case scenario</t>
    </r>
    <r>
      <rPr>
        <sz val="8"/>
        <color theme="1"/>
        <rFont val="Calibri"/>
        <family val="2"/>
        <scheme val="minor"/>
      </rPr>
      <t>, the IRR drops to</t>
    </r>
    <r>
      <rPr>
        <b/>
        <sz val="8"/>
        <color theme="1"/>
        <rFont val="Calibri"/>
        <family val="2"/>
        <scheme val="minor"/>
      </rPr>
      <t xml:space="preserve"> 13%</t>
    </r>
    <r>
      <rPr>
        <sz val="8"/>
        <color theme="1"/>
        <rFont val="Calibri"/>
        <family val="2"/>
        <scheme val="minor"/>
      </rPr>
      <t xml:space="preserve">, which is above the discount rate (WACC of 8%) but </t>
    </r>
    <r>
      <rPr>
        <b/>
        <sz val="8"/>
        <color theme="1"/>
        <rFont val="Calibri"/>
        <family val="2"/>
        <scheme val="minor"/>
      </rPr>
      <t xml:space="preserve">not compelling given the </t>
    </r>
  </si>
  <si>
    <r>
      <rPr>
        <b/>
        <sz val="8"/>
        <color theme="1"/>
        <rFont val="Calibri"/>
        <family val="2"/>
        <scheme val="minor"/>
      </rPr>
      <t>operational and financial risk</t>
    </r>
    <r>
      <rPr>
        <sz val="8"/>
        <color theme="1"/>
        <rFont val="Calibri"/>
        <family val="2"/>
        <scheme val="minor"/>
      </rPr>
      <t xml:space="preserve">. If the worst-case scenario includes a one-year delay, the project generates </t>
    </r>
    <r>
      <rPr>
        <b/>
        <sz val="8"/>
        <color theme="1"/>
        <rFont val="Calibri"/>
        <family val="2"/>
        <scheme val="minor"/>
      </rPr>
      <t>negative NPV</t>
    </r>
    <r>
      <rPr>
        <sz val="8"/>
        <color theme="1"/>
        <rFont val="Calibri"/>
        <family val="2"/>
        <scheme val="minor"/>
      </rPr>
      <t>,</t>
    </r>
  </si>
  <si>
    <t xml:space="preserve">of timing and delivery risks. </t>
  </si>
  <si>
    <r>
      <t xml:space="preserve">Overall, the project appears </t>
    </r>
    <r>
      <rPr>
        <b/>
        <sz val="8"/>
        <color theme="1"/>
        <rFont val="Calibri"/>
        <family val="2"/>
        <scheme val="minor"/>
      </rPr>
      <t>financially fragile with limited upside</t>
    </r>
    <r>
      <rPr>
        <sz val="8"/>
        <color theme="1"/>
        <rFont val="Calibri"/>
        <family val="2"/>
        <scheme val="minor"/>
      </rPr>
      <t xml:space="preserve">, but could be strengthened through </t>
    </r>
    <r>
      <rPr>
        <b/>
        <sz val="8"/>
        <color theme="1"/>
        <rFont val="Calibri"/>
        <family val="2"/>
        <scheme val="minor"/>
      </rPr>
      <t>focused management</t>
    </r>
  </si>
  <si>
    <r>
      <t xml:space="preserve">NPV - </t>
    </r>
    <r>
      <rPr>
        <sz val="8"/>
        <color theme="1"/>
        <rFont val="Calibri"/>
        <family val="2"/>
        <scheme val="minor"/>
      </rPr>
      <t xml:space="preserve">Net present Value. It is the value today of all future net cashflows after covering the investment cost. </t>
    </r>
  </si>
  <si>
    <r>
      <rPr>
        <b/>
        <sz val="8"/>
        <color theme="1"/>
        <rFont val="Calibri"/>
        <family val="2"/>
        <scheme val="minor"/>
      </rPr>
      <t>IRR -</t>
    </r>
    <r>
      <rPr>
        <sz val="8"/>
        <color theme="1"/>
        <rFont val="Calibri"/>
        <family val="2"/>
        <scheme val="minor"/>
      </rPr>
      <t xml:space="preserve"> Internal Rate of Return, tells us the project's return. If it does not beat our cost of capital, it's not worth. </t>
    </r>
  </si>
  <si>
    <t xml:space="preserve">Based on external benchmark for established leisure group, 8% to 10% is a fair </t>
  </si>
  <si>
    <t>assumption.</t>
  </si>
  <si>
    <t>this project</t>
  </si>
  <si>
    <r>
      <t>WACC -</t>
    </r>
    <r>
      <rPr>
        <sz val="8"/>
        <color theme="1"/>
        <rFont val="Calibri"/>
        <family val="2"/>
        <scheme val="minor"/>
      </rPr>
      <t xml:space="preserve"> Weighted average cost of capital, the blended average cost of the debt and equity we use to fund</t>
    </r>
  </si>
  <si>
    <r>
      <rPr>
        <b/>
        <sz val="8"/>
        <color theme="1"/>
        <rFont val="Calibri"/>
        <family val="2"/>
        <scheme val="minor"/>
      </rPr>
      <t>Cashflow investment journey graph</t>
    </r>
    <r>
      <rPr>
        <sz val="8"/>
        <color theme="1"/>
        <rFont val="Calibri"/>
        <family val="2"/>
        <scheme val="minor"/>
      </rPr>
      <t xml:space="preserve"> - Shows at what point does the project start generating surplus cash.</t>
    </r>
  </si>
  <si>
    <r>
      <t xml:space="preserve">back to </t>
    </r>
    <r>
      <rPr>
        <b/>
        <sz val="8"/>
        <color theme="1"/>
        <rFont val="Calibri"/>
        <family val="2"/>
        <scheme val="minor"/>
      </rPr>
      <t>year 8</t>
    </r>
    <r>
      <rPr>
        <sz val="8"/>
        <color theme="1"/>
        <rFont val="Calibri"/>
        <family val="2"/>
        <scheme val="minor"/>
      </rPr>
      <t>, and the liquidity requirement rises to</t>
    </r>
    <r>
      <rPr>
        <b/>
        <sz val="8"/>
        <color theme="1"/>
        <rFont val="Calibri"/>
        <family val="2"/>
        <scheme val="minor"/>
      </rPr>
      <t xml:space="preserve"> £11m</t>
    </r>
    <r>
      <rPr>
        <sz val="8"/>
        <color theme="1"/>
        <rFont val="Calibri"/>
        <family val="2"/>
        <scheme val="minor"/>
      </rPr>
      <t>. (Cashflow investment journey graph)</t>
    </r>
  </si>
  <si>
    <t>what the initial investment.</t>
  </si>
  <si>
    <t>TOP LEISURE -INVESTMENT APPRISAL</t>
  </si>
  <si>
    <t xml:space="preserve">assumption. Considering Top Leisure's strong market position, 8% is a fair </t>
  </si>
  <si>
    <r>
      <t xml:space="preserve">meaning it would </t>
    </r>
    <r>
      <rPr>
        <b/>
        <sz val="8"/>
        <color theme="1"/>
        <rFont val="Calibri"/>
        <family val="2"/>
        <scheme val="minor"/>
      </rPr>
      <t>destroy value for Top Leisure</t>
    </r>
    <r>
      <rPr>
        <sz val="8"/>
        <color theme="1"/>
        <rFont val="Calibri"/>
        <family val="2"/>
        <scheme val="minor"/>
      </rPr>
      <t xml:space="preserve"> in monetary terms.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</si>
</sst>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3" formatCode="_-* #,##0.00_-;\-* #,##0.00_-;_-* &quot;-&quot;??_-;_-@_-"/>
    <numFmt numFmtId="164" formatCode="_-* #,##0_-;\-* #,##0_-;_-* &quot;-&quot;??_-;_-@_-"/>
    <numFmt numFmtId="165" formatCode="&quot;£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1" applyNumberFormat="1" applyFont="1"/>
    <xf numFmtId="43" fontId="0" fillId="0" borderId="0" xfId="1" applyFont="1"/>
    <xf numFmtId="43" fontId="0" fillId="0" borderId="0" xfId="0" applyNumberFormat="1"/>
    <xf numFmtId="9" fontId="0" fillId="0" borderId="0" xfId="1" applyNumberFormat="1" applyFont="1"/>
    <xf numFmtId="0" fontId="8" fillId="0" borderId="0" xfId="0" applyFont="1"/>
    <xf numFmtId="8" fontId="0" fillId="0" borderId="0" xfId="0" applyNumberFormat="1"/>
    <xf numFmtId="165" fontId="0" fillId="0" borderId="0" xfId="0" applyNumberFormat="1"/>
    <xf numFmtId="8" fontId="2" fillId="2" borderId="0" xfId="0" applyNumberFormat="1" applyFont="1" applyFill="1"/>
    <xf numFmtId="9" fontId="0" fillId="0" borderId="0" xfId="2" applyFont="1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0" fontId="0" fillId="0" borderId="11" xfId="0" applyBorder="1"/>
    <xf numFmtId="0" fontId="10" fillId="3" borderId="1" xfId="0" applyFont="1" applyFill="1" applyBorder="1" applyAlignment="1">
      <alignment horizontal="centerContinuous"/>
    </xf>
    <xf numFmtId="0" fontId="4" fillId="3" borderId="2" xfId="0" applyFont="1" applyFill="1" applyBorder="1" applyAlignment="1">
      <alignment horizontal="centerContinuous"/>
    </xf>
    <xf numFmtId="0" fontId="4" fillId="3" borderId="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0" fontId="4" fillId="3" borderId="0" xfId="0" applyFont="1" applyFill="1" applyAlignment="1">
      <alignment horizontal="centerContinuous"/>
    </xf>
    <xf numFmtId="0" fontId="4" fillId="3" borderId="5" xfId="0" applyFont="1" applyFill="1" applyBorder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5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4" xfId="0" applyFont="1" applyFill="1" applyBorder="1"/>
    <xf numFmtId="165" fontId="7" fillId="2" borderId="0" xfId="0" applyNumberFormat="1" applyFont="1" applyFill="1"/>
    <xf numFmtId="0" fontId="0" fillId="2" borderId="0" xfId="0" applyFill="1"/>
    <xf numFmtId="0" fontId="0" fillId="2" borderId="5" xfId="0" applyFill="1" applyBorder="1"/>
    <xf numFmtId="0" fontId="6" fillId="2" borderId="4" xfId="0" applyFont="1" applyFill="1" applyBorder="1"/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65" fontId="2" fillId="2" borderId="0" xfId="0" applyNumberFormat="1" applyFont="1" applyFill="1"/>
    <xf numFmtId="0" fontId="0" fillId="2" borderId="4" xfId="0" applyFill="1" applyBorder="1"/>
    <xf numFmtId="9" fontId="6" fillId="2" borderId="0" xfId="2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12" fillId="0" borderId="6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Cashflow Investment Journey</a:t>
            </a:r>
          </a:p>
        </c:rich>
      </c:tx>
      <c:layout>
        <c:manualLayout>
          <c:xMode val="edge"/>
          <c:yMode val="edge"/>
          <c:x val="0.17481481481481478"/>
          <c:y val="3.4632018892175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97820233711097"/>
          <c:y val="4.5380670424983047E-2"/>
          <c:w val="0.86401012373453323"/>
          <c:h val="0.75389064171856568"/>
        </c:manualLayout>
      </c:layout>
      <c:area3DChart>
        <c:grouping val="stack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'Opreating Cashflow'!$B$1:$U$1</c:f>
              <c:strCache>
                <c:ptCount val="20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Year6</c:v>
                </c:pt>
                <c:pt idx="6">
                  <c:v>Year7</c:v>
                </c:pt>
                <c:pt idx="7">
                  <c:v>Year8</c:v>
                </c:pt>
                <c:pt idx="8">
                  <c:v>Year9</c:v>
                </c:pt>
                <c:pt idx="9">
                  <c:v>Year10</c:v>
                </c:pt>
                <c:pt idx="10">
                  <c:v>Year11</c:v>
                </c:pt>
                <c:pt idx="11">
                  <c:v>Year12</c:v>
                </c:pt>
                <c:pt idx="12">
                  <c:v>Year13</c:v>
                </c:pt>
                <c:pt idx="13">
                  <c:v>Year14</c:v>
                </c:pt>
                <c:pt idx="14">
                  <c:v>Year15</c:v>
                </c:pt>
                <c:pt idx="15">
                  <c:v>Year16</c:v>
                </c:pt>
                <c:pt idx="16">
                  <c:v>Year17</c:v>
                </c:pt>
                <c:pt idx="17">
                  <c:v>Year18</c:v>
                </c:pt>
                <c:pt idx="18">
                  <c:v>Year19</c:v>
                </c:pt>
                <c:pt idx="19">
                  <c:v>Year20</c:v>
                </c:pt>
              </c:strCache>
            </c:strRef>
          </c:cat>
          <c:val>
            <c:numRef>
              <c:f>'Opreating Cashflow'!$B$37:$U$37</c:f>
              <c:numCache>
                <c:formatCode>_-* #,##0_-;\-* #,##0_-;_-* "-"??_-;_-@_-</c:formatCode>
                <c:ptCount val="20"/>
                <c:pt idx="1">
                  <c:v>-6047.0124999999989</c:v>
                </c:pt>
                <c:pt idx="2">
                  <c:v>-7014.4064192708329</c:v>
                </c:pt>
                <c:pt idx="3">
                  <c:v>-5152.1961561653643</c:v>
                </c:pt>
                <c:pt idx="4">
                  <c:v>-3329.7538958029859</c:v>
                </c:pt>
                <c:pt idx="5">
                  <c:v>-2024.5717001865703</c:v>
                </c:pt>
                <c:pt idx="6">
                  <c:v>-78.957860038781973</c:v>
                </c:pt>
                <c:pt idx="7">
                  <c:v>1930.9171232639198</c:v>
                </c:pt>
                <c:pt idx="8">
                  <c:v>3351.6456397108195</c:v>
                </c:pt>
                <c:pt idx="9">
                  <c:v>4920.590709530321</c:v>
                </c:pt>
                <c:pt idx="10">
                  <c:v>7134.4260024479654</c:v>
                </c:pt>
                <c:pt idx="11">
                  <c:v>8662.8664011434394</c:v>
                </c:pt>
                <c:pt idx="12">
                  <c:v>11022.402003268415</c:v>
                </c:pt>
                <c:pt idx="13">
                  <c:v>12957.834085945709</c:v>
                </c:pt>
                <c:pt idx="14">
                  <c:v>13903.347273580393</c:v>
                </c:pt>
                <c:pt idx="15">
                  <c:v>15120.278864950946</c:v>
                </c:pt>
                <c:pt idx="16">
                  <c:v>16485.838376671054</c:v>
                </c:pt>
                <c:pt idx="17">
                  <c:v>16003.055466250224</c:v>
                </c:pt>
                <c:pt idx="18">
                  <c:v>17029.955321569909</c:v>
                </c:pt>
                <c:pt idx="19">
                  <c:v>18222.413990077359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4-4CCB-911A-2AA9CE66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20232"/>
        <c:axId val="573719872"/>
        <c:axId val="0"/>
      </c:area3DChart>
      <c:catAx>
        <c:axId val="57372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19872"/>
        <c:crosses val="autoZero"/>
        <c:auto val="1"/>
        <c:lblAlgn val="ctr"/>
        <c:lblOffset val="100"/>
        <c:noMultiLvlLbl val="0"/>
      </c:catAx>
      <c:valAx>
        <c:axId val="573719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2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CREATION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Data!$A$46:$A$48</c:f>
              <c:strCache>
                <c:ptCount val="3"/>
                <c:pt idx="0">
                  <c:v>INITIAL INVESTMENT</c:v>
                </c:pt>
                <c:pt idx="1">
                  <c:v>NPV</c:v>
                </c:pt>
                <c:pt idx="2">
                  <c:v>VALUE CREATION</c:v>
                </c:pt>
              </c:strCache>
            </c:strRef>
          </c:cat>
          <c:val>
            <c:numRef>
              <c:f>Data!$B$46:$B$48</c:f>
              <c:numCache>
                <c:formatCode>"£"#,##0.00_);[Red]\("£"#,##0.00\)</c:formatCode>
                <c:ptCount val="3"/>
                <c:pt idx="0" formatCode="&quot;£&quot;#,##0.00">
                  <c:v>-9610</c:v>
                </c:pt>
                <c:pt idx="1">
                  <c:v>14440.313546853758</c:v>
                </c:pt>
                <c:pt idx="2">
                  <c:v>4830.3135468537585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6-4C45-9348-7129956783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55349560"/>
        <c:axId val="531705056"/>
      </c:barChart>
      <c:catAx>
        <c:axId val="35534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5056"/>
        <c:crosses val="autoZero"/>
        <c:auto val="1"/>
        <c:lblAlgn val="ctr"/>
        <c:lblOffset val="100"/>
        <c:noMultiLvlLbl val="0"/>
      </c:catAx>
      <c:valAx>
        <c:axId val="531705056"/>
        <c:scaling>
          <c:orientation val="minMax"/>
        </c:scaling>
        <c:delete val="1"/>
        <c:axPos val="l"/>
        <c:numFmt formatCode="&quot;£&quot;#,##0.00" sourceLinked="1"/>
        <c:majorTickMark val="none"/>
        <c:minorTickMark val="none"/>
        <c:tickLblPos val="nextTo"/>
        <c:crossAx val="35534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19050</xdr:rowOff>
    </xdr:from>
    <xdr:to>
      <xdr:col>3</xdr:col>
      <xdr:colOff>95250</xdr:colOff>
      <xdr:row>32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E871A-CFD6-4586-A3B9-36706177A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9525</xdr:rowOff>
    </xdr:from>
    <xdr:to>
      <xdr:col>0</xdr:col>
      <xdr:colOff>990600</xdr:colOff>
      <xdr:row>3</xdr:row>
      <xdr:rowOff>179355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29108-E0CE-AC18-835B-A843684C6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9525"/>
          <a:ext cx="876300" cy="95088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28575</xdr:rowOff>
    </xdr:from>
    <xdr:to>
      <xdr:col>3</xdr:col>
      <xdr:colOff>85724</xdr:colOff>
      <xdr:row>19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EFC0A3-EF9B-42ED-9767-6A61E07CA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5</xdr:row>
      <xdr:rowOff>9525</xdr:rowOff>
    </xdr:from>
    <xdr:to>
      <xdr:col>3</xdr:col>
      <xdr:colOff>66675</xdr:colOff>
      <xdr:row>6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688A60-869B-5D5F-01CC-EACB9B9F7E6D}"/>
            </a:ext>
          </a:extLst>
        </xdr:cNvPr>
        <xdr:cNvSpPr/>
      </xdr:nvSpPr>
      <xdr:spPr>
        <a:xfrm>
          <a:off x="57150" y="1171575"/>
          <a:ext cx="381000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KEY PERFORMANCE INDICATORS</a:t>
          </a:r>
          <a:r>
            <a:rPr lang="en-GB" sz="1600" baseline="0"/>
            <a:t> (KPI)</a:t>
          </a:r>
          <a:endParaRPr lang="en-GB" sz="1600"/>
        </a:p>
      </xdr:txBody>
    </xdr:sp>
    <xdr:clientData/>
  </xdr:twoCellAnchor>
  <xdr:twoCellAnchor>
    <xdr:from>
      <xdr:col>3</xdr:col>
      <xdr:colOff>533400</xdr:colOff>
      <xdr:row>5</xdr:row>
      <xdr:rowOff>19049</xdr:rowOff>
    </xdr:from>
    <xdr:to>
      <xdr:col>6</xdr:col>
      <xdr:colOff>200025</xdr:colOff>
      <xdr:row>6</xdr:row>
      <xdr:rowOff>152399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6021FB6-7855-4424-6F61-026A031676EE}"/>
            </a:ext>
          </a:extLst>
        </xdr:cNvPr>
        <xdr:cNvSpPr/>
      </xdr:nvSpPr>
      <xdr:spPr>
        <a:xfrm>
          <a:off x="4333875" y="1181099"/>
          <a:ext cx="192405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   KEY LEVERS</a:t>
          </a:r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13</xdr:col>
      <xdr:colOff>866775</xdr:colOff>
      <xdr:row>6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3BAB5F-16A7-4F95-899F-DC6D3CD9FD3E}"/>
            </a:ext>
          </a:extLst>
        </xdr:cNvPr>
        <xdr:cNvSpPr/>
      </xdr:nvSpPr>
      <xdr:spPr>
        <a:xfrm>
          <a:off x="6858000" y="1162050"/>
          <a:ext cx="485775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KEY ASSUMPTIONS</a:t>
          </a:r>
        </a:p>
      </xdr:txBody>
    </xdr:sp>
    <xdr:clientData/>
  </xdr:twoCellAnchor>
  <xdr:twoCellAnchor>
    <xdr:from>
      <xdr:col>15</xdr:col>
      <xdr:colOff>0</xdr:colOff>
      <xdr:row>5</xdr:row>
      <xdr:rowOff>0</xdr:rowOff>
    </xdr:from>
    <xdr:to>
      <xdr:col>22</xdr:col>
      <xdr:colOff>1057275</xdr:colOff>
      <xdr:row>6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50AD1D9-0881-44EC-BFAC-E711B22DB07E}"/>
            </a:ext>
          </a:extLst>
        </xdr:cNvPr>
        <xdr:cNvSpPr/>
      </xdr:nvSpPr>
      <xdr:spPr>
        <a:xfrm>
          <a:off x="12592050" y="1162050"/>
          <a:ext cx="568642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          MISSING INFORMATION</a:t>
          </a:r>
        </a:p>
      </xdr:txBody>
    </xdr:sp>
    <xdr:clientData/>
  </xdr:twoCellAnchor>
  <xdr:twoCellAnchor>
    <xdr:from>
      <xdr:col>15</xdr:col>
      <xdr:colOff>0</xdr:colOff>
      <xdr:row>19</xdr:row>
      <xdr:rowOff>152400</xdr:rowOff>
    </xdr:from>
    <xdr:to>
      <xdr:col>22</xdr:col>
      <xdr:colOff>1066800</xdr:colOff>
      <xdr:row>21</xdr:row>
      <xdr:rowOff>142875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2BF6112-1601-4DA8-A48F-A62D8A41A7C8}"/>
            </a:ext>
          </a:extLst>
        </xdr:cNvPr>
        <xdr:cNvSpPr/>
      </xdr:nvSpPr>
      <xdr:spPr>
        <a:xfrm>
          <a:off x="12592050" y="4076700"/>
          <a:ext cx="569595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PROVISIONAL RECOMMENDATION</a:t>
          </a:r>
        </a:p>
      </xdr:txBody>
    </xdr:sp>
    <xdr:clientData/>
  </xdr:twoCellAnchor>
  <xdr:twoCellAnchor>
    <xdr:from>
      <xdr:col>7</xdr:col>
      <xdr:colOff>466725</xdr:colOff>
      <xdr:row>24</xdr:row>
      <xdr:rowOff>152400</xdr:rowOff>
    </xdr:from>
    <xdr:to>
      <xdr:col>14</xdr:col>
      <xdr:colOff>0</xdr:colOff>
      <xdr:row>26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8A5EF0-4788-4B82-9998-12E76A48F63B}"/>
            </a:ext>
          </a:extLst>
        </xdr:cNvPr>
        <xdr:cNvSpPr/>
      </xdr:nvSpPr>
      <xdr:spPr>
        <a:xfrm>
          <a:off x="7134225" y="5048250"/>
          <a:ext cx="487680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ABBREVIATION</a:t>
          </a:r>
        </a:p>
        <a:p>
          <a:pPr algn="l"/>
          <a:endParaRPr lang="en-GB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13</xdr:col>
      <xdr:colOff>410483</xdr:colOff>
      <xdr:row>76</xdr:row>
      <xdr:rowOff>181452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B58C62-8254-9821-711E-8F033012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0868025"/>
          <a:ext cx="6506483" cy="341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BC89-58AC-4A85-86B6-09E4ED648170}">
  <sheetPr codeName="Sheet1"/>
  <dimension ref="A1:Y36"/>
  <sheetViews>
    <sheetView showGridLines="0" tabSelected="1" zoomScaleNormal="100" workbookViewId="0">
      <selection activeCell="E24" sqref="E24"/>
    </sheetView>
  </sheetViews>
  <sheetFormatPr defaultRowHeight="15" x14ac:dyDescent="0.25"/>
  <cols>
    <col min="1" max="1" width="37.7109375" customWidth="1"/>
    <col min="2" max="2" width="10.140625" bestFit="1" customWidth="1"/>
    <col min="5" max="5" width="13" customWidth="1"/>
    <col min="8" max="8" width="5.42578125" customWidth="1"/>
    <col min="9" max="9" width="13.42578125" customWidth="1"/>
    <col min="10" max="10" width="19" customWidth="1"/>
    <col min="14" max="14" width="13.140625" customWidth="1"/>
    <col min="15" max="15" width="5.5703125" customWidth="1"/>
    <col min="16" max="16" width="14.5703125" customWidth="1"/>
    <col min="23" max="23" width="16.28515625" customWidth="1"/>
  </cols>
  <sheetData>
    <row r="1" spans="1:25" ht="31.5" x14ac:dyDescent="0.5">
      <c r="A1" s="33" t="s">
        <v>100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</row>
    <row r="2" spans="1:25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</row>
    <row r="3" spans="1:25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</row>
    <row r="4" spans="1:25" x14ac:dyDescent="0.25">
      <c r="A4" s="36"/>
      <c r="B4" s="39"/>
      <c r="C4" s="37"/>
      <c r="D4" s="37"/>
      <c r="E4" s="39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</row>
    <row r="5" spans="1:25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2"/>
    </row>
    <row r="6" spans="1:25" ht="18.75" x14ac:dyDescent="0.3">
      <c r="A6" s="43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2"/>
    </row>
    <row r="7" spans="1:25" ht="15.75" thickBot="1" x14ac:dyDescent="0.3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2"/>
    </row>
    <row r="8" spans="1:25" x14ac:dyDescent="0.25">
      <c r="A8" s="40"/>
      <c r="B8" s="41"/>
      <c r="C8" s="41"/>
      <c r="D8" s="41"/>
      <c r="E8" s="44"/>
      <c r="F8" s="44"/>
      <c r="G8" s="44"/>
      <c r="H8" s="44"/>
      <c r="I8" s="29" t="s">
        <v>42</v>
      </c>
      <c r="J8" s="20" t="s">
        <v>43</v>
      </c>
      <c r="K8" s="20"/>
      <c r="L8" s="20"/>
      <c r="M8" s="20"/>
      <c r="N8" s="21"/>
      <c r="O8" s="44"/>
      <c r="P8" s="29" t="s">
        <v>54</v>
      </c>
      <c r="Q8" s="20" t="s">
        <v>55</v>
      </c>
      <c r="R8" s="20"/>
      <c r="S8" s="20"/>
      <c r="T8" s="20"/>
      <c r="U8" s="20"/>
      <c r="V8" s="20"/>
      <c r="W8" s="21"/>
      <c r="X8" s="44"/>
      <c r="Y8" s="42"/>
    </row>
    <row r="9" spans="1:25" x14ac:dyDescent="0.25">
      <c r="A9" s="40"/>
      <c r="B9" s="41"/>
      <c r="C9" s="41"/>
      <c r="D9" s="41"/>
      <c r="E9" s="44"/>
      <c r="F9" s="44"/>
      <c r="G9" s="44"/>
      <c r="H9" s="44"/>
      <c r="I9" s="22"/>
      <c r="J9" s="23" t="s">
        <v>99</v>
      </c>
      <c r="K9" s="23"/>
      <c r="L9" s="23"/>
      <c r="M9" s="23"/>
      <c r="N9" s="24"/>
      <c r="O9" s="44"/>
      <c r="P9" s="22"/>
      <c r="Q9" s="23" t="s">
        <v>56</v>
      </c>
      <c r="R9" s="23"/>
      <c r="S9" s="23"/>
      <c r="T9" s="23"/>
      <c r="U9" s="23"/>
      <c r="V9" s="23"/>
      <c r="W9" s="24"/>
      <c r="X9" s="44"/>
      <c r="Y9" s="42"/>
    </row>
    <row r="10" spans="1:25" x14ac:dyDescent="0.25">
      <c r="A10" s="45"/>
      <c r="B10" s="46"/>
      <c r="C10" s="47"/>
      <c r="D10" s="47"/>
      <c r="E10" s="44"/>
      <c r="F10" s="44"/>
      <c r="G10" s="44"/>
      <c r="H10" s="44"/>
      <c r="I10" s="28" t="s">
        <v>44</v>
      </c>
      <c r="J10" s="23" t="s">
        <v>93</v>
      </c>
      <c r="K10" s="23"/>
      <c r="L10" s="23"/>
      <c r="M10" s="23"/>
      <c r="N10" s="24"/>
      <c r="O10" s="44"/>
      <c r="P10" s="28" t="s">
        <v>57</v>
      </c>
      <c r="Q10" s="23" t="s">
        <v>58</v>
      </c>
      <c r="R10" s="23"/>
      <c r="S10" s="23"/>
      <c r="T10" s="23"/>
      <c r="U10" s="23"/>
      <c r="V10" s="23"/>
      <c r="W10" s="24"/>
      <c r="X10" s="44"/>
      <c r="Y10" s="48"/>
    </row>
    <row r="11" spans="1:25" ht="15.75" x14ac:dyDescent="0.25">
      <c r="A11" s="49"/>
      <c r="B11" s="17"/>
      <c r="C11" s="47"/>
      <c r="D11" s="47"/>
      <c r="E11" s="50" t="s">
        <v>33</v>
      </c>
      <c r="F11" s="51" t="s">
        <v>40</v>
      </c>
      <c r="G11" s="44"/>
      <c r="H11" s="44"/>
      <c r="I11" s="22"/>
      <c r="J11" s="23" t="s">
        <v>101</v>
      </c>
      <c r="K11" s="23"/>
      <c r="L11" s="23"/>
      <c r="M11" s="23"/>
      <c r="N11" s="24"/>
      <c r="O11" s="44"/>
      <c r="P11" s="22"/>
      <c r="Q11" s="23" t="s">
        <v>59</v>
      </c>
      <c r="R11" s="23"/>
      <c r="S11" s="23"/>
      <c r="T11" s="23"/>
      <c r="U11" s="23"/>
      <c r="V11" s="23"/>
      <c r="W11" s="24"/>
      <c r="X11" s="44"/>
      <c r="Y11" s="48"/>
    </row>
    <row r="12" spans="1:25" x14ac:dyDescent="0.25">
      <c r="A12" s="45"/>
      <c r="B12" s="52"/>
      <c r="C12" s="47"/>
      <c r="D12" s="47"/>
      <c r="E12" s="44"/>
      <c r="F12" s="44"/>
      <c r="G12" s="44"/>
      <c r="H12" s="44"/>
      <c r="I12" s="22"/>
      <c r="J12" s="23" t="s">
        <v>94</v>
      </c>
      <c r="K12" s="23"/>
      <c r="L12" s="23"/>
      <c r="M12" s="23"/>
      <c r="N12" s="24"/>
      <c r="O12" s="44"/>
      <c r="P12" s="28" t="s">
        <v>60</v>
      </c>
      <c r="Q12" s="23" t="s">
        <v>61</v>
      </c>
      <c r="R12" s="23"/>
      <c r="S12" s="23"/>
      <c r="T12" s="23"/>
      <c r="U12" s="23"/>
      <c r="V12" s="23"/>
      <c r="W12" s="24"/>
      <c r="X12" s="44"/>
      <c r="Y12" s="48"/>
    </row>
    <row r="13" spans="1:25" x14ac:dyDescent="0.25">
      <c r="A13" s="53"/>
      <c r="B13" s="47"/>
      <c r="C13" s="47"/>
      <c r="D13" s="47"/>
      <c r="E13" s="44"/>
      <c r="F13" s="44"/>
      <c r="G13" s="44"/>
      <c r="H13" s="44"/>
      <c r="I13" s="28" t="s">
        <v>45</v>
      </c>
      <c r="J13" s="23" t="s">
        <v>46</v>
      </c>
      <c r="K13" s="23"/>
      <c r="L13" s="23"/>
      <c r="M13" s="23"/>
      <c r="N13" s="24"/>
      <c r="O13" s="44"/>
      <c r="P13" s="28" t="s">
        <v>45</v>
      </c>
      <c r="Q13" s="23" t="s">
        <v>62</v>
      </c>
      <c r="R13" s="23"/>
      <c r="S13" s="23"/>
      <c r="T13" s="23"/>
      <c r="U13" s="23"/>
      <c r="V13" s="23"/>
      <c r="W13" s="24"/>
      <c r="X13" s="44"/>
      <c r="Y13" s="48"/>
    </row>
    <row r="14" spans="1:25" x14ac:dyDescent="0.25">
      <c r="A14" s="53"/>
      <c r="B14" s="47"/>
      <c r="C14" s="47"/>
      <c r="D14" s="47"/>
      <c r="E14" s="44"/>
      <c r="F14" s="44"/>
      <c r="G14" s="44"/>
      <c r="H14" s="44"/>
      <c r="I14" s="22"/>
      <c r="J14" s="23" t="s">
        <v>47</v>
      </c>
      <c r="K14" s="23"/>
      <c r="L14" s="23"/>
      <c r="M14" s="23"/>
      <c r="N14" s="24"/>
      <c r="O14" s="44"/>
      <c r="P14" s="28" t="s">
        <v>66</v>
      </c>
      <c r="Q14" s="23" t="s">
        <v>67</v>
      </c>
      <c r="R14" s="23"/>
      <c r="S14" s="23"/>
      <c r="T14" s="23"/>
      <c r="U14" s="23"/>
      <c r="V14" s="23"/>
      <c r="W14" s="24"/>
      <c r="X14" s="44"/>
      <c r="Y14" s="48"/>
    </row>
    <row r="15" spans="1:25" ht="15.75" x14ac:dyDescent="0.25">
      <c r="A15" s="53"/>
      <c r="B15" s="47"/>
      <c r="C15" s="47"/>
      <c r="D15" s="47"/>
      <c r="E15" s="50">
        <v>0</v>
      </c>
      <c r="F15" s="51" t="s">
        <v>39</v>
      </c>
      <c r="G15" s="44"/>
      <c r="H15" s="44"/>
      <c r="I15" s="28" t="s">
        <v>48</v>
      </c>
      <c r="J15" s="23" t="s">
        <v>74</v>
      </c>
      <c r="K15" s="23"/>
      <c r="L15" s="23"/>
      <c r="M15" s="23"/>
      <c r="N15" s="24"/>
      <c r="O15" s="44"/>
      <c r="P15" s="22"/>
      <c r="Q15" s="23" t="s">
        <v>68</v>
      </c>
      <c r="R15" s="23"/>
      <c r="S15" s="23"/>
      <c r="T15" s="23"/>
      <c r="U15" s="23"/>
      <c r="V15" s="23"/>
      <c r="W15" s="24"/>
      <c r="X15" s="44"/>
      <c r="Y15" s="48"/>
    </row>
    <row r="16" spans="1:25" x14ac:dyDescent="0.25">
      <c r="A16" s="53"/>
      <c r="B16" s="47"/>
      <c r="C16" s="47"/>
      <c r="D16" s="47"/>
      <c r="E16" s="44"/>
      <c r="F16" s="44"/>
      <c r="G16" s="44"/>
      <c r="H16" s="44"/>
      <c r="I16" s="28" t="s">
        <v>49</v>
      </c>
      <c r="J16" s="23" t="s">
        <v>75</v>
      </c>
      <c r="K16" s="23"/>
      <c r="L16" s="23"/>
      <c r="M16" s="23"/>
      <c r="N16" s="24"/>
      <c r="O16" s="44"/>
      <c r="P16" s="28" t="s">
        <v>69</v>
      </c>
      <c r="Q16" s="23" t="s">
        <v>70</v>
      </c>
      <c r="R16" s="23"/>
      <c r="S16" s="23"/>
      <c r="T16" s="23"/>
      <c r="U16" s="23"/>
      <c r="V16" s="23"/>
      <c r="W16" s="24"/>
      <c r="X16" s="44"/>
      <c r="Y16" s="48"/>
    </row>
    <row r="17" spans="1:25" x14ac:dyDescent="0.25">
      <c r="A17" s="53"/>
      <c r="B17" s="47"/>
      <c r="C17" s="47"/>
      <c r="D17" s="47"/>
      <c r="E17" s="44"/>
      <c r="F17" s="44"/>
      <c r="G17" s="44"/>
      <c r="H17" s="44"/>
      <c r="I17" s="22"/>
      <c r="J17" s="23" t="s">
        <v>50</v>
      </c>
      <c r="K17" s="23"/>
      <c r="L17" s="23"/>
      <c r="M17" s="23"/>
      <c r="N17" s="24"/>
      <c r="O17" s="44"/>
      <c r="P17" s="28" t="s">
        <v>77</v>
      </c>
      <c r="Q17" s="23" t="s">
        <v>78</v>
      </c>
      <c r="R17" s="23"/>
      <c r="S17" s="23"/>
      <c r="T17" s="23"/>
      <c r="U17" s="23"/>
      <c r="V17" s="23"/>
      <c r="W17" s="24"/>
      <c r="X17" s="44"/>
      <c r="Y17" s="48"/>
    </row>
    <row r="18" spans="1:25" x14ac:dyDescent="0.25">
      <c r="A18" s="53"/>
      <c r="B18" s="47"/>
      <c r="C18" s="47"/>
      <c r="D18" s="47"/>
      <c r="E18" s="44"/>
      <c r="F18" s="44"/>
      <c r="G18" s="44"/>
      <c r="H18" s="44"/>
      <c r="I18" s="22"/>
      <c r="J18" s="23" t="s">
        <v>76</v>
      </c>
      <c r="K18" s="23"/>
      <c r="L18" s="23"/>
      <c r="M18" s="23"/>
      <c r="N18" s="24"/>
      <c r="O18" s="44"/>
      <c r="P18" s="28" t="s">
        <v>79</v>
      </c>
      <c r="Q18" s="23" t="s">
        <v>80</v>
      </c>
      <c r="R18" s="23"/>
      <c r="S18" s="23"/>
      <c r="T18" s="23"/>
      <c r="U18" s="23"/>
      <c r="V18" s="23"/>
      <c r="W18" s="24"/>
      <c r="X18" s="44"/>
      <c r="Y18" s="48"/>
    </row>
    <row r="19" spans="1:25" ht="16.5" thickBot="1" x14ac:dyDescent="0.3">
      <c r="A19" s="53"/>
      <c r="B19" s="47"/>
      <c r="C19" s="47"/>
      <c r="D19" s="47"/>
      <c r="E19" s="54">
        <v>0.08</v>
      </c>
      <c r="F19" s="51" t="s">
        <v>41</v>
      </c>
      <c r="G19" s="44"/>
      <c r="H19" s="44"/>
      <c r="I19" s="28" t="s">
        <v>51</v>
      </c>
      <c r="J19" s="23" t="s">
        <v>52</v>
      </c>
      <c r="K19" s="23"/>
      <c r="L19" s="23"/>
      <c r="M19" s="23"/>
      <c r="N19" s="24"/>
      <c r="O19" s="44"/>
      <c r="P19" s="59" t="s">
        <v>81</v>
      </c>
      <c r="Q19" s="26" t="s">
        <v>82</v>
      </c>
      <c r="R19" s="26"/>
      <c r="S19" s="26"/>
      <c r="T19" s="26"/>
      <c r="U19" s="26"/>
      <c r="V19" s="26"/>
      <c r="W19" s="27"/>
      <c r="X19" s="44"/>
      <c r="Y19" s="48"/>
    </row>
    <row r="20" spans="1:25" x14ac:dyDescent="0.25">
      <c r="A20" s="53"/>
      <c r="B20" s="47"/>
      <c r="C20" s="47"/>
      <c r="D20" s="47"/>
      <c r="E20" s="44"/>
      <c r="F20" s="44"/>
      <c r="G20" s="44"/>
      <c r="H20" s="44"/>
      <c r="I20" s="22"/>
      <c r="J20" s="23" t="s">
        <v>53</v>
      </c>
      <c r="K20" s="23"/>
      <c r="L20" s="23"/>
      <c r="M20" s="23"/>
      <c r="N20" s="2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8"/>
    </row>
    <row r="21" spans="1:25" x14ac:dyDescent="0.25">
      <c r="A21" s="53"/>
      <c r="B21" s="47"/>
      <c r="C21" s="47"/>
      <c r="D21" s="47"/>
      <c r="E21" s="44"/>
      <c r="F21" s="44"/>
      <c r="G21" s="44"/>
      <c r="H21" s="44"/>
      <c r="I21" s="28" t="s">
        <v>63</v>
      </c>
      <c r="J21" s="23" t="s">
        <v>64</v>
      </c>
      <c r="K21" s="23"/>
      <c r="L21" s="23"/>
      <c r="M21" s="23"/>
      <c r="N21" s="2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8"/>
    </row>
    <row r="22" spans="1:25" ht="15.75" thickBot="1" x14ac:dyDescent="0.3">
      <c r="A22" s="53"/>
      <c r="B22" s="47"/>
      <c r="C22" s="47"/>
      <c r="D22" s="47"/>
      <c r="E22" s="44"/>
      <c r="F22" s="44"/>
      <c r="G22" s="44"/>
      <c r="H22" s="44"/>
      <c r="I22" s="22"/>
      <c r="J22" s="23" t="s">
        <v>65</v>
      </c>
      <c r="K22" s="23"/>
      <c r="L22" s="23"/>
      <c r="M22" s="23"/>
      <c r="N22" s="2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8"/>
    </row>
    <row r="23" spans="1:25" x14ac:dyDescent="0.25">
      <c r="A23" s="53"/>
      <c r="B23" s="47"/>
      <c r="C23" s="47"/>
      <c r="D23" s="47"/>
      <c r="E23" s="44"/>
      <c r="F23" s="44"/>
      <c r="G23" s="44"/>
      <c r="H23" s="44"/>
      <c r="I23" s="28" t="s">
        <v>69</v>
      </c>
      <c r="J23" s="23" t="s">
        <v>71</v>
      </c>
      <c r="K23" s="23"/>
      <c r="L23" s="23"/>
      <c r="M23" s="23"/>
      <c r="N23" s="24"/>
      <c r="O23" s="44"/>
      <c r="P23" s="19" t="s">
        <v>84</v>
      </c>
      <c r="Q23" s="20"/>
      <c r="R23" s="20"/>
      <c r="S23" s="20"/>
      <c r="T23" s="20"/>
      <c r="U23" s="20"/>
      <c r="V23" s="20"/>
      <c r="W23" s="21"/>
      <c r="X23" s="44"/>
      <c r="Y23" s="48"/>
    </row>
    <row r="24" spans="1:25" ht="15.75" thickBot="1" x14ac:dyDescent="0.3">
      <c r="A24" s="53"/>
      <c r="B24" s="47"/>
      <c r="C24" s="47"/>
      <c r="D24" s="47"/>
      <c r="E24" s="44"/>
      <c r="F24" s="44"/>
      <c r="G24" s="44"/>
      <c r="H24" s="44"/>
      <c r="I24" s="59" t="s">
        <v>72</v>
      </c>
      <c r="J24" s="26" t="s">
        <v>73</v>
      </c>
      <c r="K24" s="26"/>
      <c r="L24" s="26"/>
      <c r="M24" s="26"/>
      <c r="N24" s="27"/>
      <c r="O24" s="44"/>
      <c r="P24" s="28" t="s">
        <v>83</v>
      </c>
      <c r="Q24" s="23"/>
      <c r="R24" s="23"/>
      <c r="S24" s="23"/>
      <c r="T24" s="23"/>
      <c r="U24" s="23"/>
      <c r="V24" s="23"/>
      <c r="W24" s="24"/>
      <c r="X24" s="44"/>
      <c r="Y24" s="48"/>
    </row>
    <row r="25" spans="1:25" x14ac:dyDescent="0.25">
      <c r="A25" s="53"/>
      <c r="B25" s="47"/>
      <c r="C25" s="47"/>
      <c r="D25" s="47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22"/>
      <c r="Q25" s="23"/>
      <c r="R25" s="23"/>
      <c r="S25" s="23"/>
      <c r="T25" s="23"/>
      <c r="U25" s="23"/>
      <c r="V25" s="23"/>
      <c r="W25" s="24"/>
      <c r="X25" s="44"/>
      <c r="Y25" s="48"/>
    </row>
    <row r="26" spans="1:25" x14ac:dyDescent="0.25">
      <c r="A26" s="53"/>
      <c r="B26" s="47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22" t="s">
        <v>85</v>
      </c>
      <c r="Q26" s="23"/>
      <c r="R26" s="23"/>
      <c r="S26" s="23"/>
      <c r="T26" s="23"/>
      <c r="U26" s="23"/>
      <c r="V26" s="23"/>
      <c r="W26" s="24"/>
      <c r="X26" s="44"/>
      <c r="Y26" s="48"/>
    </row>
    <row r="27" spans="1:25" ht="15.75" thickBot="1" x14ac:dyDescent="0.3">
      <c r="A27" s="53"/>
      <c r="B27" s="47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22" t="s">
        <v>86</v>
      </c>
      <c r="Q27" s="23"/>
      <c r="R27" s="23"/>
      <c r="S27" s="23"/>
      <c r="T27" s="23"/>
      <c r="U27" s="23"/>
      <c r="V27" s="23"/>
      <c r="W27" s="24"/>
      <c r="X27" s="44"/>
      <c r="Y27" s="48"/>
    </row>
    <row r="28" spans="1:25" x14ac:dyDescent="0.25">
      <c r="A28" s="53"/>
      <c r="B28" s="47"/>
      <c r="C28" s="47"/>
      <c r="D28" s="47"/>
      <c r="E28" s="44"/>
      <c r="F28" s="44"/>
      <c r="G28" s="44"/>
      <c r="H28" s="44"/>
      <c r="I28" s="29" t="s">
        <v>91</v>
      </c>
      <c r="J28" s="20"/>
      <c r="K28" s="20"/>
      <c r="L28" s="20"/>
      <c r="M28" s="20"/>
      <c r="N28" s="21"/>
      <c r="O28" s="44"/>
      <c r="P28" s="22" t="s">
        <v>98</v>
      </c>
      <c r="Q28" s="23"/>
      <c r="R28" s="23"/>
      <c r="S28" s="23"/>
      <c r="T28" s="23"/>
      <c r="U28" s="23"/>
      <c r="V28" s="23"/>
      <c r="W28" s="24"/>
      <c r="X28" s="44"/>
      <c r="Y28" s="48"/>
    </row>
    <row r="29" spans="1:25" x14ac:dyDescent="0.25">
      <c r="A29" s="53"/>
      <c r="B29" s="47"/>
      <c r="C29" s="47"/>
      <c r="D29" s="47"/>
      <c r="E29" s="44"/>
      <c r="F29" s="44"/>
      <c r="G29" s="44"/>
      <c r="H29" s="44"/>
      <c r="I29" s="22" t="s">
        <v>92</v>
      </c>
      <c r="J29" s="23"/>
      <c r="K29" s="23"/>
      <c r="L29" s="23"/>
      <c r="M29" s="23"/>
      <c r="N29" s="24"/>
      <c r="O29" s="44"/>
      <c r="P29" s="22"/>
      <c r="Q29" s="23"/>
      <c r="R29" s="23"/>
      <c r="S29" s="23"/>
      <c r="T29" s="23"/>
      <c r="U29" s="23"/>
      <c r="V29" s="23"/>
      <c r="W29" s="24"/>
      <c r="X29" s="44"/>
      <c r="Y29" s="48"/>
    </row>
    <row r="30" spans="1:25" x14ac:dyDescent="0.25">
      <c r="A30" s="53"/>
      <c r="B30" s="47"/>
      <c r="C30" s="47"/>
      <c r="D30" s="47"/>
      <c r="E30" s="44"/>
      <c r="F30" s="44"/>
      <c r="G30" s="44"/>
      <c r="H30" s="44"/>
      <c r="I30" s="28" t="s">
        <v>96</v>
      </c>
      <c r="J30" s="23"/>
      <c r="K30" s="23"/>
      <c r="L30" s="23"/>
      <c r="M30" s="23"/>
      <c r="N30" s="24"/>
      <c r="O30" s="44"/>
      <c r="P30" s="22" t="s">
        <v>87</v>
      </c>
      <c r="Q30" s="23"/>
      <c r="R30" s="23"/>
      <c r="S30" s="23"/>
      <c r="T30" s="23"/>
      <c r="U30" s="23"/>
      <c r="V30" s="23"/>
      <c r="W30" s="24"/>
      <c r="X30" s="44"/>
      <c r="Y30" s="48"/>
    </row>
    <row r="31" spans="1:25" x14ac:dyDescent="0.25">
      <c r="A31" s="53"/>
      <c r="B31" s="47"/>
      <c r="C31" s="47"/>
      <c r="D31" s="47"/>
      <c r="E31" s="44"/>
      <c r="F31" s="44"/>
      <c r="G31" s="44"/>
      <c r="H31" s="44"/>
      <c r="I31" s="22" t="s">
        <v>95</v>
      </c>
      <c r="J31" s="23"/>
      <c r="K31" s="23"/>
      <c r="L31" s="23"/>
      <c r="M31" s="23"/>
      <c r="N31" s="24"/>
      <c r="O31" s="44"/>
      <c r="P31" s="22" t="s">
        <v>88</v>
      </c>
      <c r="Q31" s="23"/>
      <c r="R31" s="23"/>
      <c r="S31" s="23"/>
      <c r="T31" s="23"/>
      <c r="U31" s="23"/>
      <c r="V31" s="23"/>
      <c r="W31" s="24"/>
      <c r="X31" s="44"/>
      <c r="Y31" s="48"/>
    </row>
    <row r="32" spans="1:25" ht="15.75" thickBot="1" x14ac:dyDescent="0.3">
      <c r="A32" s="53"/>
      <c r="B32" s="47"/>
      <c r="C32" s="47"/>
      <c r="D32" s="47"/>
      <c r="E32" s="44"/>
      <c r="F32" s="44"/>
      <c r="G32" s="44"/>
      <c r="H32" s="44"/>
      <c r="I32" s="25" t="s">
        <v>97</v>
      </c>
      <c r="J32" s="26"/>
      <c r="K32" s="26"/>
      <c r="L32" s="26"/>
      <c r="M32" s="26"/>
      <c r="N32" s="27"/>
      <c r="O32" s="44"/>
      <c r="P32" s="22" t="s">
        <v>102</v>
      </c>
      <c r="Q32" s="23"/>
      <c r="R32" s="23"/>
      <c r="S32" s="23"/>
      <c r="T32" s="23"/>
      <c r="U32" s="23"/>
      <c r="V32" s="23"/>
      <c r="W32" s="24"/>
      <c r="X32" s="44"/>
      <c r="Y32" s="48"/>
    </row>
    <row r="33" spans="1:25" ht="15.75" thickBot="1" x14ac:dyDescent="0.3">
      <c r="A33" s="53"/>
      <c r="B33" s="47"/>
      <c r="C33" s="47"/>
      <c r="D33" s="47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22"/>
      <c r="Q33" s="23"/>
      <c r="R33" s="23"/>
      <c r="S33" s="23"/>
      <c r="T33" s="23"/>
      <c r="U33" s="23"/>
      <c r="V33" s="23"/>
      <c r="W33" s="24"/>
      <c r="X33" s="44"/>
      <c r="Y33" s="48"/>
    </row>
    <row r="34" spans="1:25" ht="16.5" customHeight="1" thickBot="1" x14ac:dyDescent="0.4">
      <c r="A34" s="30" t="s">
        <v>37</v>
      </c>
      <c r="B34" s="31">
        <f>IRR('Opreating Cashflow'!B36:U36)</f>
        <v>0.17208889967220498</v>
      </c>
      <c r="C34" s="32"/>
      <c r="D34" s="47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22" t="s">
        <v>90</v>
      </c>
      <c r="Q34" s="23"/>
      <c r="R34" s="23"/>
      <c r="S34" s="23"/>
      <c r="T34" s="23"/>
      <c r="U34" s="23"/>
      <c r="V34" s="23"/>
      <c r="W34" s="24"/>
      <c r="X34" s="44"/>
      <c r="Y34" s="48"/>
    </row>
    <row r="35" spans="1:25" ht="15" customHeight="1" thickBot="1" x14ac:dyDescent="0.3">
      <c r="A35" s="53"/>
      <c r="B35" s="47"/>
      <c r="C35" s="47"/>
      <c r="D35" s="47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59" t="s">
        <v>89</v>
      </c>
      <c r="Q35" s="26"/>
      <c r="R35" s="26"/>
      <c r="S35" s="26"/>
      <c r="T35" s="26"/>
      <c r="U35" s="26"/>
      <c r="V35" s="26"/>
      <c r="W35" s="27"/>
      <c r="X35" s="44"/>
      <c r="Y35" s="48"/>
    </row>
    <row r="36" spans="1:25" ht="15.75" thickBot="1" x14ac:dyDescent="0.3">
      <c r="A36" s="55"/>
      <c r="B36" s="56"/>
      <c r="C36" s="56"/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8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38D91A-C788-45E0-81B8-52DD1804EB4B}">
          <x14:formula1>
            <xm:f>Data!$A$4:$A$6</xm:f>
          </x14:formula1>
          <xm:sqref>E11</xm:sqref>
        </x14:dataValidation>
        <x14:dataValidation type="list" allowBlank="1" showInputMessage="1" showErrorMessage="1" xr:uid="{DD542AE1-646C-42D6-95FB-50192200BB1C}">
          <x14:formula1>
            <xm:f>Data!$A$52:$A$57</xm:f>
          </x14:formula1>
          <xm:sqref>E15</xm:sqref>
        </x14:dataValidation>
        <x14:dataValidation type="list" allowBlank="1" showInputMessage="1" showErrorMessage="1" xr:uid="{FB4F5713-1C54-4B74-A82D-6E951F25978E}">
          <x14:formula1>
            <xm:f>Data!$A$61:$A$65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0512-5EFA-43C2-82B0-005F1207A265}">
  <sheetPr codeName="Sheet2"/>
  <dimension ref="A1:U41"/>
  <sheetViews>
    <sheetView showGridLines="0" zoomScale="89" zoomScaleNormal="89" workbookViewId="0"/>
  </sheetViews>
  <sheetFormatPr defaultRowHeight="15" x14ac:dyDescent="0.25"/>
  <cols>
    <col min="1" max="1" width="33.85546875" customWidth="1"/>
    <col min="2" max="2" width="14" bestFit="1" customWidth="1"/>
    <col min="3" max="21" width="11.28515625" bestFit="1" customWidth="1"/>
  </cols>
  <sheetData>
    <row r="1" spans="1:21" x14ac:dyDescent="0.25">
      <c r="A1" s="6" t="s">
        <v>7</v>
      </c>
      <c r="B1" s="6" t="str">
        <f>+Data!B8</f>
        <v>Year1</v>
      </c>
      <c r="C1" s="6" t="str">
        <f>+Data!C8</f>
        <v>Year2</v>
      </c>
      <c r="D1" s="6" t="str">
        <f>+Data!D8</f>
        <v>Year3</v>
      </c>
      <c r="E1" s="6" t="str">
        <f>+Data!E8</f>
        <v>Year4</v>
      </c>
      <c r="F1" s="6" t="str">
        <f>+Data!F8</f>
        <v>Year5</v>
      </c>
      <c r="G1" s="6" t="str">
        <f>+Data!G8</f>
        <v>Year6</v>
      </c>
      <c r="H1" s="6" t="str">
        <f>+Data!H8</f>
        <v>Year7</v>
      </c>
      <c r="I1" s="6" t="str">
        <f>+Data!I8</f>
        <v>Year8</v>
      </c>
      <c r="J1" s="6" t="str">
        <f>+Data!J8</f>
        <v>Year9</v>
      </c>
      <c r="K1" s="6" t="str">
        <f>+Data!K8</f>
        <v>Year10</v>
      </c>
      <c r="L1" s="6" t="str">
        <f>+Data!L8</f>
        <v>Year11</v>
      </c>
      <c r="M1" s="6" t="str">
        <f>+Data!M8</f>
        <v>Year12</v>
      </c>
      <c r="N1" s="6" t="str">
        <f>+Data!N8</f>
        <v>Year13</v>
      </c>
      <c r="O1" s="6" t="str">
        <f>+Data!O8</f>
        <v>Year14</v>
      </c>
      <c r="P1" s="6" t="str">
        <f>+Data!P8</f>
        <v>Year15</v>
      </c>
      <c r="Q1" s="6" t="str">
        <f>+Data!Q8</f>
        <v>Year16</v>
      </c>
      <c r="R1" s="6" t="str">
        <f>+Data!R8</f>
        <v>Year17</v>
      </c>
      <c r="S1" s="6" t="str">
        <f>+Data!S8</f>
        <v>Year18</v>
      </c>
      <c r="T1" s="6" t="str">
        <f>+Data!T8</f>
        <v>Year19</v>
      </c>
      <c r="U1" s="6" t="str">
        <f>+Data!U8</f>
        <v>Year20</v>
      </c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9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t="s">
        <v>0</v>
      </c>
      <c r="B4" s="2">
        <f>+Data!B26/1000</f>
        <v>5596.5</v>
      </c>
      <c r="C4" s="2">
        <f>+Data!C26/1000</f>
        <v>5596.5</v>
      </c>
      <c r="D4" s="2">
        <f>+Data!D26/1000</f>
        <v>0</v>
      </c>
      <c r="E4" s="2">
        <f>+Data!E26/1000</f>
        <v>0</v>
      </c>
      <c r="F4" s="2">
        <f>+Data!F26/1000</f>
        <v>0</v>
      </c>
      <c r="G4" s="2">
        <f>+Data!G26/1000</f>
        <v>0</v>
      </c>
      <c r="H4" s="2">
        <f>+Data!H26/1000</f>
        <v>0</v>
      </c>
      <c r="I4" s="2">
        <f>+Data!I26/1000</f>
        <v>0</v>
      </c>
      <c r="J4" s="2">
        <f>+Data!J26/1000</f>
        <v>0</v>
      </c>
      <c r="K4" s="2">
        <f>+Data!K26/1000</f>
        <v>0</v>
      </c>
      <c r="L4" s="2">
        <f>+Data!L26/1000</f>
        <v>0</v>
      </c>
      <c r="M4" s="2">
        <f>+Data!M26/1000</f>
        <v>0</v>
      </c>
      <c r="N4" s="2">
        <f>+Data!N26/1000</f>
        <v>0</v>
      </c>
      <c r="O4" s="2">
        <f>+Data!O26/1000</f>
        <v>0</v>
      </c>
      <c r="P4" s="2">
        <f>+Data!P26/1000</f>
        <v>0</v>
      </c>
      <c r="Q4" s="2">
        <f>+Data!Q26/1000</f>
        <v>0</v>
      </c>
      <c r="R4" s="2">
        <f>+Data!R26/1000</f>
        <v>0</v>
      </c>
      <c r="S4" s="2">
        <f>+Data!S26/1000</f>
        <v>0</v>
      </c>
      <c r="T4" s="2">
        <f>+Data!T26/1000</f>
        <v>0</v>
      </c>
      <c r="U4" s="2">
        <f>+Data!U26/1000</f>
        <v>0</v>
      </c>
    </row>
    <row r="5" spans="1:21" x14ac:dyDescent="0.25">
      <c r="A5" t="s">
        <v>1</v>
      </c>
      <c r="B5" s="2">
        <f>+Data!B27/1000</f>
        <v>0</v>
      </c>
      <c r="C5" s="2">
        <f>+Data!C27/1000</f>
        <v>0</v>
      </c>
      <c r="D5" s="2">
        <f>+Data!D27/1000</f>
        <v>5036.5</v>
      </c>
      <c r="E5" s="2">
        <f>+Data!E27/1000</f>
        <v>5036.5</v>
      </c>
      <c r="F5" s="2">
        <f>+Data!F27/1000</f>
        <v>5036.5</v>
      </c>
      <c r="G5" s="2">
        <f>+Data!G27/1000</f>
        <v>5137.2300000000014</v>
      </c>
      <c r="H5" s="2">
        <f>+Data!H27/1000</f>
        <v>5239.9746000000005</v>
      </c>
      <c r="I5" s="2">
        <f>+Data!I27/1000</f>
        <v>5344.7740920000006</v>
      </c>
      <c r="J5" s="2">
        <f>+Data!J27/1000</f>
        <v>5451.6695738400003</v>
      </c>
      <c r="K5" s="2">
        <f>+Data!K27/1000</f>
        <v>5560.7029653168001</v>
      </c>
      <c r="L5" s="2">
        <f>+Data!L27/1000</f>
        <v>5671.9170246231361</v>
      </c>
      <c r="M5" s="2">
        <f>+Data!M27/1000</f>
        <v>5785.3553651155989</v>
      </c>
      <c r="N5" s="2">
        <f>+Data!N27/1000</f>
        <v>5901.0624724179106</v>
      </c>
      <c r="O5" s="2">
        <f>+Data!O27/1000</f>
        <v>6019.0837218662691</v>
      </c>
      <c r="P5" s="2">
        <f>+Data!P27/1000</f>
        <v>6199.656233522257</v>
      </c>
      <c r="Q5" s="2">
        <f>+Data!Q27/1000</f>
        <v>6385.6459205279252</v>
      </c>
      <c r="R5" s="2">
        <f>+Data!R27/1000</f>
        <v>6577.215298143763</v>
      </c>
      <c r="S5" s="2">
        <f>+Data!S27/1000</f>
        <v>6774.5317570880761</v>
      </c>
      <c r="T5" s="2">
        <f>+Data!T27/1000</f>
        <v>6977.7677098007189</v>
      </c>
      <c r="U5" s="2">
        <f>+Data!U27/1000</f>
        <v>7187.1007410947404</v>
      </c>
    </row>
    <row r="6" spans="1:21" x14ac:dyDescent="0.25">
      <c r="A6" t="s">
        <v>2</v>
      </c>
      <c r="B6" s="2">
        <f>+Data!B28/1000</f>
        <v>2152.5</v>
      </c>
      <c r="C6" s="2">
        <f>+Data!C28/1000</f>
        <v>2152.5</v>
      </c>
      <c r="D6" s="2">
        <f>+Data!D28/1000</f>
        <v>2152.5</v>
      </c>
      <c r="E6" s="2">
        <f>+Data!E28/1000</f>
        <v>2152.5</v>
      </c>
      <c r="F6" s="2">
        <f>+Data!F28/1000</f>
        <v>2152.5</v>
      </c>
      <c r="G6" s="2">
        <f>+Data!G28/1000</f>
        <v>2152.5</v>
      </c>
      <c r="H6" s="2">
        <f>+Data!H28/1000</f>
        <v>2152.5</v>
      </c>
      <c r="I6" s="2">
        <f>+Data!I28/1000</f>
        <v>2152.4999999999995</v>
      </c>
      <c r="J6" s="2">
        <f>+Data!J28/1000</f>
        <v>2152.5</v>
      </c>
      <c r="K6" s="2">
        <f>+Data!K28/1000</f>
        <v>2152.5</v>
      </c>
      <c r="L6" s="2">
        <f>+Data!L28/1000</f>
        <v>2152.5</v>
      </c>
      <c r="M6" s="2">
        <f>+Data!M28/1000</f>
        <v>2152.5</v>
      </c>
      <c r="N6" s="2">
        <f>+Data!N28/1000</f>
        <v>2152.5</v>
      </c>
      <c r="O6" s="2">
        <f>+Data!O28/1000</f>
        <v>1652.5</v>
      </c>
      <c r="P6" s="2">
        <f>+Data!P28/1000</f>
        <v>1152.5</v>
      </c>
      <c r="Q6" s="2">
        <f>+Data!Q28/1000</f>
        <v>652.5</v>
      </c>
      <c r="R6" s="2">
        <f>+Data!R28/1000</f>
        <v>652.50000000000011</v>
      </c>
      <c r="S6" s="2">
        <f>+Data!S28/1000</f>
        <v>0</v>
      </c>
      <c r="T6" s="2">
        <f>+Data!T28/1000</f>
        <v>0</v>
      </c>
      <c r="U6" s="2">
        <f>+Data!U28/1000</f>
        <v>0</v>
      </c>
    </row>
    <row r="7" spans="1:21" x14ac:dyDescent="0.25">
      <c r="A7" t="s">
        <v>3</v>
      </c>
      <c r="B7" s="2">
        <f>+Data!B29/1000</f>
        <v>861</v>
      </c>
      <c r="C7" s="2">
        <f>+Data!C29/1000</f>
        <v>861</v>
      </c>
      <c r="D7" s="2">
        <f>+Data!D29/1000</f>
        <v>861</v>
      </c>
      <c r="E7" s="2">
        <f>+Data!E29/1000</f>
        <v>861</v>
      </c>
      <c r="F7" s="2">
        <f>+Data!F29/1000</f>
        <v>861</v>
      </c>
      <c r="G7" s="2">
        <f>+Data!G29/1000</f>
        <v>861</v>
      </c>
      <c r="H7" s="2">
        <f>+Data!H29/1000</f>
        <v>861.00000000000011</v>
      </c>
      <c r="I7" s="2">
        <f>+Data!I29/1000</f>
        <v>861</v>
      </c>
      <c r="J7" s="2">
        <f>+Data!J29/1000</f>
        <v>861</v>
      </c>
      <c r="K7" s="2">
        <f>+Data!K29/1000</f>
        <v>861</v>
      </c>
      <c r="L7" s="2">
        <f>+Data!L29/1000</f>
        <v>861</v>
      </c>
      <c r="M7" s="2">
        <f>+Data!M29/1000</f>
        <v>861</v>
      </c>
      <c r="N7" s="2">
        <f>+Data!N29/1000</f>
        <v>861.00000000000011</v>
      </c>
      <c r="O7" s="2">
        <f>+Data!O29/1000</f>
        <v>861</v>
      </c>
      <c r="P7" s="2">
        <f>+Data!P29/1000</f>
        <v>861</v>
      </c>
      <c r="Q7" s="2">
        <f>+Data!Q29/1000</f>
        <v>860.99999999999989</v>
      </c>
      <c r="R7" s="2">
        <f>+Data!R29/1000</f>
        <v>861</v>
      </c>
      <c r="S7" s="2">
        <f>+Data!S29/1000</f>
        <v>861</v>
      </c>
      <c r="T7" s="2">
        <f>+Data!T29/1000</f>
        <v>861</v>
      </c>
      <c r="U7" s="2">
        <f>+Data!U29/1000</f>
        <v>860.99999999999989</v>
      </c>
    </row>
    <row r="8" spans="1:21" x14ac:dyDescent="0.25">
      <c r="A8" s="5" t="s">
        <v>10</v>
      </c>
      <c r="B8" s="8">
        <f>SUM(B4:B7)</f>
        <v>8610</v>
      </c>
      <c r="C8" s="8">
        <f t="shared" ref="C8:D8" si="0">SUM(C4:C7)</f>
        <v>8610</v>
      </c>
      <c r="D8" s="8">
        <f t="shared" si="0"/>
        <v>8050</v>
      </c>
      <c r="E8" s="8">
        <f t="shared" ref="E8" si="1">SUM(E4:E7)</f>
        <v>8050</v>
      </c>
      <c r="F8" s="8">
        <f t="shared" ref="F8:G8" si="2">SUM(F4:F7)</f>
        <v>8050</v>
      </c>
      <c r="G8" s="8">
        <f t="shared" si="2"/>
        <v>8150.7300000000014</v>
      </c>
      <c r="H8" s="8">
        <f t="shared" ref="H8:J8" si="3">SUM(H4:H7)</f>
        <v>8253.4746000000014</v>
      </c>
      <c r="I8" s="8">
        <f t="shared" si="3"/>
        <v>8358.2740919999997</v>
      </c>
      <c r="J8" s="8">
        <f t="shared" si="3"/>
        <v>8465.1695738400012</v>
      </c>
      <c r="K8" s="8">
        <f t="shared" ref="K8" si="4">SUM(K4:K7)</f>
        <v>8574.2029653167992</v>
      </c>
      <c r="L8" s="8">
        <f t="shared" ref="L8" si="5">SUM(L4:L7)</f>
        <v>8685.417024623137</v>
      </c>
      <c r="M8" s="8">
        <f t="shared" ref="M8" si="6">SUM(M4:M7)</f>
        <v>8798.8553651155999</v>
      </c>
      <c r="N8" s="8">
        <f t="shared" ref="N8" si="7">SUM(N4:N7)</f>
        <v>8914.5624724179106</v>
      </c>
      <c r="O8" s="8">
        <f t="shared" ref="O8" si="8">SUM(O4:O7)</f>
        <v>8532.5837218662691</v>
      </c>
      <c r="P8" s="8">
        <f t="shared" ref="P8" si="9">SUM(P4:P7)</f>
        <v>8213.156233522257</v>
      </c>
      <c r="Q8" s="8">
        <f t="shared" ref="Q8" si="10">SUM(Q4:Q7)</f>
        <v>7899.1459205279252</v>
      </c>
      <c r="R8" s="8">
        <f t="shared" ref="R8" si="11">SUM(R4:R7)</f>
        <v>8090.715298143763</v>
      </c>
      <c r="S8" s="8">
        <f t="shared" ref="S8" si="12">SUM(S4:S7)</f>
        <v>7635.5317570880761</v>
      </c>
      <c r="T8" s="8">
        <f t="shared" ref="T8" si="13">SUM(T4:T7)</f>
        <v>7838.7677098007189</v>
      </c>
      <c r="U8" s="8">
        <f t="shared" ref="U8" si="14">SUM(U4:U7)</f>
        <v>8048.1007410947404</v>
      </c>
    </row>
    <row r="9" spans="1:21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1" spans="1:21" x14ac:dyDescent="0.25">
      <c r="A11" s="5" t="s">
        <v>14</v>
      </c>
      <c r="D11" s="3"/>
    </row>
    <row r="12" spans="1:21" x14ac:dyDescent="0.25">
      <c r="A12" t="s">
        <v>12</v>
      </c>
      <c r="B12" s="2">
        <f>-Data!$B$37*VLOOKUP('Opreating Cashflow'!$A12,Data!$A$38:$B$41,2,0)/1000</f>
        <v>-2686.5</v>
      </c>
      <c r="C12" s="2">
        <f>(+B12*(2.5%/4))+B12</f>
        <v>-2703.2906250000001</v>
      </c>
      <c r="D12" s="2">
        <f t="shared" ref="D12:U15" si="15">(+C12*(2.5%/4))+C12</f>
        <v>-2720.1861914062501</v>
      </c>
      <c r="E12" s="2">
        <f t="shared" si="15"/>
        <v>-2737.1873551025392</v>
      </c>
      <c r="F12" s="2">
        <f t="shared" si="15"/>
        <v>-2754.2947760719298</v>
      </c>
      <c r="G12" s="2">
        <f t="shared" si="15"/>
        <v>-2771.5091184223793</v>
      </c>
      <c r="H12" s="2">
        <f t="shared" si="15"/>
        <v>-2788.8310504125193</v>
      </c>
      <c r="I12" s="2">
        <f t="shared" si="15"/>
        <v>-2806.2612444775978</v>
      </c>
      <c r="J12" s="2">
        <f t="shared" si="15"/>
        <v>-2823.8003772555826</v>
      </c>
      <c r="K12" s="2">
        <f t="shared" si="15"/>
        <v>-2841.4491296134302</v>
      </c>
      <c r="L12" s="2">
        <f t="shared" si="15"/>
        <v>-2859.2081866735143</v>
      </c>
      <c r="M12" s="2">
        <f t="shared" si="15"/>
        <v>-2877.0782378402237</v>
      </c>
      <c r="N12" s="2">
        <f t="shared" si="15"/>
        <v>-2895.0599768267252</v>
      </c>
      <c r="O12" s="2">
        <f t="shared" si="15"/>
        <v>-2913.1541016818924</v>
      </c>
      <c r="P12" s="2">
        <f t="shared" si="15"/>
        <v>-2931.361314817404</v>
      </c>
      <c r="Q12" s="2">
        <f t="shared" si="15"/>
        <v>-2949.6823230350128</v>
      </c>
      <c r="R12" s="2">
        <f t="shared" si="15"/>
        <v>-2968.1178375539816</v>
      </c>
      <c r="S12" s="2">
        <f t="shared" si="15"/>
        <v>-2986.6685740386938</v>
      </c>
      <c r="T12" s="2">
        <f t="shared" si="15"/>
        <v>-3005.3352526264357</v>
      </c>
      <c r="U12" s="2">
        <f t="shared" si="15"/>
        <v>-3024.1185979553511</v>
      </c>
    </row>
    <row r="13" spans="1:21" x14ac:dyDescent="0.25">
      <c r="A13" t="s">
        <v>15</v>
      </c>
      <c r="B13" s="2">
        <f>-Data!$B$37*VLOOKUP('Opreating Cashflow'!$A13,Data!$A$38:$B$41,2,0)/1000</f>
        <v>-1492.5</v>
      </c>
      <c r="C13" s="2">
        <f t="shared" ref="C13:R15" si="16">(+B13*(2.5%/4))+B13</f>
        <v>-1501.828125</v>
      </c>
      <c r="D13" s="2">
        <f t="shared" si="16"/>
        <v>-1511.21455078125</v>
      </c>
      <c r="E13" s="2">
        <f t="shared" si="16"/>
        <v>-1520.6596417236328</v>
      </c>
      <c r="F13" s="2">
        <f t="shared" si="16"/>
        <v>-1530.1637644844056</v>
      </c>
      <c r="G13" s="2">
        <f t="shared" si="16"/>
        <v>-1539.7272880124333</v>
      </c>
      <c r="H13" s="2">
        <f t="shared" si="16"/>
        <v>-1549.350583562511</v>
      </c>
      <c r="I13" s="2">
        <f t="shared" si="16"/>
        <v>-1559.0340247097768</v>
      </c>
      <c r="J13" s="2">
        <f t="shared" si="16"/>
        <v>-1568.7779873642128</v>
      </c>
      <c r="K13" s="2">
        <f t="shared" si="16"/>
        <v>-1578.5828497852392</v>
      </c>
      <c r="L13" s="2">
        <f t="shared" si="16"/>
        <v>-1588.4489925963969</v>
      </c>
      <c r="M13" s="2">
        <f t="shared" si="16"/>
        <v>-1598.3767988001243</v>
      </c>
      <c r="N13" s="2">
        <f t="shared" si="16"/>
        <v>-1608.3666537926251</v>
      </c>
      <c r="O13" s="2">
        <f t="shared" si="16"/>
        <v>-1618.418945378829</v>
      </c>
      <c r="P13" s="2">
        <f t="shared" si="16"/>
        <v>-1628.5340637874467</v>
      </c>
      <c r="Q13" s="2">
        <f t="shared" si="16"/>
        <v>-1638.7124016861183</v>
      </c>
      <c r="R13" s="2">
        <f t="shared" si="16"/>
        <v>-1648.9543541966566</v>
      </c>
      <c r="S13" s="2">
        <f t="shared" si="15"/>
        <v>-1659.2603189103856</v>
      </c>
      <c r="T13" s="2">
        <f t="shared" si="15"/>
        <v>-1669.6306959035755</v>
      </c>
      <c r="U13" s="2">
        <f t="shared" si="15"/>
        <v>-1680.0658877529729</v>
      </c>
    </row>
    <row r="14" spans="1:21" x14ac:dyDescent="0.25">
      <c r="A14" t="s">
        <v>16</v>
      </c>
      <c r="B14" s="2">
        <f>-Data!$B$37*VLOOKUP('Opreating Cashflow'!$A14,Data!$A$38:$B$41,2,0)/1000</f>
        <v>-1194</v>
      </c>
      <c r="C14" s="2">
        <f t="shared" si="16"/>
        <v>-1201.4625000000001</v>
      </c>
      <c r="D14" s="2">
        <f t="shared" si="15"/>
        <v>-1208.9716406250002</v>
      </c>
      <c r="E14" s="2">
        <f t="shared" si="15"/>
        <v>-1216.5277133789064</v>
      </c>
      <c r="F14" s="2">
        <f t="shared" si="15"/>
        <v>-1224.1310115875244</v>
      </c>
      <c r="G14" s="2">
        <f t="shared" si="15"/>
        <v>-1231.7818304099465</v>
      </c>
      <c r="H14" s="2">
        <f t="shared" si="15"/>
        <v>-1239.4804668500087</v>
      </c>
      <c r="I14" s="2">
        <f t="shared" si="15"/>
        <v>-1247.2272197678212</v>
      </c>
      <c r="J14" s="2">
        <f t="shared" si="15"/>
        <v>-1255.02238989137</v>
      </c>
      <c r="K14" s="2">
        <f t="shared" si="15"/>
        <v>-1262.8662798281912</v>
      </c>
      <c r="L14" s="2">
        <f t="shared" si="15"/>
        <v>-1270.7591940771174</v>
      </c>
      <c r="M14" s="2">
        <f t="shared" si="15"/>
        <v>-1278.7014390400993</v>
      </c>
      <c r="N14" s="2">
        <f t="shared" si="15"/>
        <v>-1286.6933230340999</v>
      </c>
      <c r="O14" s="2">
        <f t="shared" si="15"/>
        <v>-1294.7351563030629</v>
      </c>
      <c r="P14" s="2">
        <f t="shared" si="15"/>
        <v>-1302.8272510299571</v>
      </c>
      <c r="Q14" s="2">
        <f t="shared" si="15"/>
        <v>-1310.9699213488943</v>
      </c>
      <c r="R14" s="2">
        <f t="shared" si="15"/>
        <v>-1319.1634833573248</v>
      </c>
      <c r="S14" s="2">
        <f t="shared" si="15"/>
        <v>-1327.4082551283082</v>
      </c>
      <c r="T14" s="2">
        <f t="shared" si="15"/>
        <v>-1335.7045567228602</v>
      </c>
      <c r="U14" s="2">
        <f t="shared" si="15"/>
        <v>-1344.052710202378</v>
      </c>
    </row>
    <row r="15" spans="1:21" x14ac:dyDescent="0.25">
      <c r="A15" t="s">
        <v>17</v>
      </c>
      <c r="B15" s="2">
        <f>-Data!$B$37*VLOOKUP('Opreating Cashflow'!$A15,Data!$A$38:$B$41,2,0)/1000</f>
        <v>-597</v>
      </c>
      <c r="C15" s="2">
        <f t="shared" si="16"/>
        <v>-600.73125000000005</v>
      </c>
      <c r="D15" s="2">
        <f t="shared" si="15"/>
        <v>-604.4858203125001</v>
      </c>
      <c r="E15" s="2">
        <f t="shared" si="15"/>
        <v>-608.26385668945318</v>
      </c>
      <c r="F15" s="2">
        <f t="shared" si="15"/>
        <v>-612.06550579376221</v>
      </c>
      <c r="G15" s="2">
        <f t="shared" si="15"/>
        <v>-615.89091520497323</v>
      </c>
      <c r="H15" s="2">
        <f t="shared" si="15"/>
        <v>-619.74023342500436</v>
      </c>
      <c r="I15" s="2">
        <f t="shared" si="15"/>
        <v>-623.61360988391061</v>
      </c>
      <c r="J15" s="2">
        <f t="shared" si="15"/>
        <v>-627.51119494568502</v>
      </c>
      <c r="K15" s="2">
        <f t="shared" si="15"/>
        <v>-631.43313991409559</v>
      </c>
      <c r="L15" s="2">
        <f t="shared" si="15"/>
        <v>-635.3795970385587</v>
      </c>
      <c r="M15" s="2">
        <f t="shared" si="15"/>
        <v>-639.35071952004967</v>
      </c>
      <c r="N15" s="2">
        <f t="shared" si="15"/>
        <v>-643.34666151704994</v>
      </c>
      <c r="O15" s="2">
        <f t="shared" si="15"/>
        <v>-647.36757815153146</v>
      </c>
      <c r="P15" s="2">
        <f t="shared" si="15"/>
        <v>-651.41362551497855</v>
      </c>
      <c r="Q15" s="2">
        <f t="shared" si="15"/>
        <v>-655.48496067444717</v>
      </c>
      <c r="R15" s="2">
        <f t="shared" si="15"/>
        <v>-659.58174167866241</v>
      </c>
      <c r="S15" s="2">
        <f t="shared" si="15"/>
        <v>-663.70412756415408</v>
      </c>
      <c r="T15" s="2">
        <f t="shared" si="15"/>
        <v>-667.85227836143008</v>
      </c>
      <c r="U15" s="2">
        <f t="shared" si="15"/>
        <v>-672.02635510118898</v>
      </c>
    </row>
    <row r="16" spans="1:21" x14ac:dyDescent="0.25">
      <c r="A16" s="5" t="s">
        <v>18</v>
      </c>
      <c r="B16" s="8">
        <f>SUM(B12:B15)</f>
        <v>-5970</v>
      </c>
      <c r="C16" s="8">
        <f t="shared" ref="C16:U16" si="17">SUM(C12:C15)</f>
        <v>-6007.3124999999991</v>
      </c>
      <c r="D16" s="8">
        <f t="shared" si="17"/>
        <v>-6044.8582031250007</v>
      </c>
      <c r="E16" s="8">
        <f t="shared" si="17"/>
        <v>-6082.6385668945313</v>
      </c>
      <c r="F16" s="8">
        <f t="shared" si="17"/>
        <v>-6120.6550579376217</v>
      </c>
      <c r="G16" s="8">
        <f t="shared" si="17"/>
        <v>-6158.9091520497332</v>
      </c>
      <c r="H16" s="8">
        <f t="shared" si="17"/>
        <v>-6197.4023342500432</v>
      </c>
      <c r="I16" s="8">
        <f t="shared" si="17"/>
        <v>-6236.1360988391061</v>
      </c>
      <c r="J16" s="8">
        <f t="shared" si="17"/>
        <v>-6275.1119494568502</v>
      </c>
      <c r="K16" s="8">
        <f t="shared" si="17"/>
        <v>-6314.3313991409559</v>
      </c>
      <c r="L16" s="8">
        <f t="shared" si="17"/>
        <v>-6353.7959703855877</v>
      </c>
      <c r="M16" s="8">
        <f t="shared" si="17"/>
        <v>-6393.5071952004973</v>
      </c>
      <c r="N16" s="8">
        <f t="shared" si="17"/>
        <v>-6433.4666151705005</v>
      </c>
      <c r="O16" s="8">
        <f t="shared" si="17"/>
        <v>-6473.6757815153151</v>
      </c>
      <c r="P16" s="8">
        <f t="shared" si="17"/>
        <v>-6514.1362551497859</v>
      </c>
      <c r="Q16" s="8">
        <f t="shared" si="17"/>
        <v>-6554.849606744473</v>
      </c>
      <c r="R16" s="8">
        <f t="shared" si="17"/>
        <v>-6595.8174167866246</v>
      </c>
      <c r="S16" s="8">
        <f t="shared" si="17"/>
        <v>-6637.0412756415417</v>
      </c>
      <c r="T16" s="8">
        <f t="shared" si="17"/>
        <v>-6678.5227836143004</v>
      </c>
      <c r="U16" s="8">
        <f t="shared" si="17"/>
        <v>-6720.2635510118907</v>
      </c>
    </row>
    <row r="17" spans="1:21" x14ac:dyDescent="0.25">
      <c r="C17" s="2"/>
      <c r="D17" s="2"/>
      <c r="E17" s="3"/>
    </row>
    <row r="18" spans="1:21" x14ac:dyDescent="0.25">
      <c r="A18" t="s">
        <v>19</v>
      </c>
      <c r="B18" s="2">
        <f>-630000/1000</f>
        <v>-630</v>
      </c>
      <c r="C18" s="2">
        <f t="shared" ref="C18:U18" si="18">-630000/1000</f>
        <v>-630</v>
      </c>
      <c r="D18" s="2">
        <f t="shared" si="18"/>
        <v>-630</v>
      </c>
      <c r="E18" s="2">
        <f t="shared" si="18"/>
        <v>-630</v>
      </c>
      <c r="F18" s="2">
        <f t="shared" si="18"/>
        <v>-630</v>
      </c>
      <c r="G18" s="2">
        <f t="shared" si="18"/>
        <v>-630</v>
      </c>
      <c r="H18" s="2">
        <f t="shared" si="18"/>
        <v>-630</v>
      </c>
      <c r="I18" s="2">
        <f t="shared" si="18"/>
        <v>-630</v>
      </c>
      <c r="J18" s="2">
        <f t="shared" si="18"/>
        <v>-630</v>
      </c>
      <c r="K18" s="2">
        <f t="shared" si="18"/>
        <v>-630</v>
      </c>
      <c r="L18" s="2">
        <f t="shared" si="18"/>
        <v>-630</v>
      </c>
      <c r="M18" s="2">
        <f t="shared" si="18"/>
        <v>-630</v>
      </c>
      <c r="N18" s="2">
        <f t="shared" si="18"/>
        <v>-630</v>
      </c>
      <c r="O18" s="2">
        <f t="shared" si="18"/>
        <v>-630</v>
      </c>
      <c r="P18" s="2">
        <f t="shared" si="18"/>
        <v>-630</v>
      </c>
      <c r="Q18" s="2">
        <f t="shared" si="18"/>
        <v>-630</v>
      </c>
      <c r="R18" s="2">
        <f t="shared" si="18"/>
        <v>-630</v>
      </c>
      <c r="S18" s="2">
        <f t="shared" si="18"/>
        <v>-630</v>
      </c>
      <c r="T18" s="2">
        <f t="shared" si="18"/>
        <v>-630</v>
      </c>
      <c r="U18" s="2">
        <f t="shared" si="18"/>
        <v>-630</v>
      </c>
    </row>
    <row r="19" spans="1:21" x14ac:dyDescent="0.25">
      <c r="A19" t="s">
        <v>20</v>
      </c>
      <c r="B19" s="2">
        <f>-170000/1000</f>
        <v>-170</v>
      </c>
      <c r="C19" s="2">
        <f>+B19*1.01</f>
        <v>-171.7</v>
      </c>
      <c r="D19" s="2">
        <f t="shared" ref="D19:U19" si="19">+C19*1.01</f>
        <v>-173.417</v>
      </c>
      <c r="E19" s="2">
        <f t="shared" si="19"/>
        <v>-175.15117000000001</v>
      </c>
      <c r="F19" s="2">
        <f t="shared" si="19"/>
        <v>-176.90268170000002</v>
      </c>
      <c r="G19" s="2">
        <f t="shared" si="19"/>
        <v>-178.67170851700001</v>
      </c>
      <c r="H19" s="2">
        <f t="shared" si="19"/>
        <v>-180.45842560217002</v>
      </c>
      <c r="I19" s="2">
        <f t="shared" si="19"/>
        <v>-182.26300985819174</v>
      </c>
      <c r="J19" s="2">
        <f t="shared" si="19"/>
        <v>-184.08563995677366</v>
      </c>
      <c r="K19" s="2">
        <f t="shared" si="19"/>
        <v>-185.9264963563414</v>
      </c>
      <c r="L19" s="2">
        <f t="shared" si="19"/>
        <v>-187.78576131990482</v>
      </c>
      <c r="M19" s="2">
        <f t="shared" si="19"/>
        <v>-189.66361893310386</v>
      </c>
      <c r="N19" s="2">
        <f t="shared" si="19"/>
        <v>-191.56025512243491</v>
      </c>
      <c r="O19" s="2">
        <f t="shared" si="19"/>
        <v>-193.47585767365925</v>
      </c>
      <c r="P19" s="2">
        <f t="shared" si="19"/>
        <v>-195.41061625039583</v>
      </c>
      <c r="Q19" s="2">
        <f t="shared" si="19"/>
        <v>-197.36472241289979</v>
      </c>
      <c r="R19" s="2">
        <f t="shared" si="19"/>
        <v>-199.33836963702879</v>
      </c>
      <c r="S19" s="2">
        <f t="shared" si="19"/>
        <v>-201.33175333339909</v>
      </c>
      <c r="T19" s="2">
        <f t="shared" si="19"/>
        <v>-203.3450708667331</v>
      </c>
      <c r="U19" s="2">
        <f t="shared" si="19"/>
        <v>-205.37852157540044</v>
      </c>
    </row>
    <row r="20" spans="1:21" x14ac:dyDescent="0.25">
      <c r="A20" t="s">
        <v>21</v>
      </c>
      <c r="B20" s="5">
        <f>+B18+B19</f>
        <v>-800</v>
      </c>
      <c r="C20" s="10">
        <f t="shared" ref="C20:U20" si="20">+C18+C19</f>
        <v>-801.7</v>
      </c>
      <c r="D20" s="10">
        <f t="shared" si="20"/>
        <v>-803.41700000000003</v>
      </c>
      <c r="E20" s="10">
        <f t="shared" si="20"/>
        <v>-805.15116999999998</v>
      </c>
      <c r="F20" s="10">
        <f t="shared" si="20"/>
        <v>-806.90268170000002</v>
      </c>
      <c r="G20" s="10">
        <f t="shared" si="20"/>
        <v>-808.67170851700007</v>
      </c>
      <c r="H20" s="10">
        <f t="shared" si="20"/>
        <v>-810.45842560217</v>
      </c>
      <c r="I20" s="10">
        <f t="shared" si="20"/>
        <v>-812.26300985819171</v>
      </c>
      <c r="J20" s="10">
        <f t="shared" si="20"/>
        <v>-814.08563995677366</v>
      </c>
      <c r="K20" s="10">
        <f t="shared" si="20"/>
        <v>-815.92649635634143</v>
      </c>
      <c r="L20" s="10">
        <f t="shared" si="20"/>
        <v>-817.78576131990485</v>
      </c>
      <c r="M20" s="10">
        <f t="shared" si="20"/>
        <v>-819.66361893310386</v>
      </c>
      <c r="N20" s="10">
        <f t="shared" si="20"/>
        <v>-821.56025512243491</v>
      </c>
      <c r="O20" s="10">
        <f t="shared" si="20"/>
        <v>-823.47585767365922</v>
      </c>
      <c r="P20" s="10">
        <f t="shared" si="20"/>
        <v>-825.41061625039583</v>
      </c>
      <c r="Q20" s="10">
        <f t="shared" si="20"/>
        <v>-827.36472241289982</v>
      </c>
      <c r="R20" s="10">
        <f t="shared" si="20"/>
        <v>-829.33836963702879</v>
      </c>
      <c r="S20" s="10">
        <f t="shared" si="20"/>
        <v>-831.33175333339909</v>
      </c>
      <c r="T20" s="10">
        <f t="shared" si="20"/>
        <v>-833.34507086673307</v>
      </c>
      <c r="U20" s="10">
        <f t="shared" si="20"/>
        <v>-835.37852157540044</v>
      </c>
    </row>
    <row r="22" spans="1:21" x14ac:dyDescent="0.25">
      <c r="A22" s="5" t="s">
        <v>22</v>
      </c>
      <c r="B22" s="8">
        <f>+B8+B16+B20</f>
        <v>1840</v>
      </c>
      <c r="C22" s="8">
        <f t="shared" ref="C22:U22" si="21">+C8+C16+C20</f>
        <v>1800.9875000000009</v>
      </c>
      <c r="D22" s="8">
        <f t="shared" si="21"/>
        <v>1201.7247968749994</v>
      </c>
      <c r="E22" s="8">
        <f t="shared" si="21"/>
        <v>1162.2102631054686</v>
      </c>
      <c r="F22" s="8">
        <f t="shared" si="21"/>
        <v>1122.4422603623784</v>
      </c>
      <c r="G22" s="8">
        <f t="shared" si="21"/>
        <v>1183.1491394332681</v>
      </c>
      <c r="H22" s="8">
        <f t="shared" si="21"/>
        <v>1245.6138401477883</v>
      </c>
      <c r="I22" s="8">
        <f t="shared" si="21"/>
        <v>1309.8749833027018</v>
      </c>
      <c r="J22" s="8">
        <f t="shared" si="21"/>
        <v>1375.9719844263773</v>
      </c>
      <c r="K22" s="8">
        <f t="shared" si="21"/>
        <v>1443.9450698195019</v>
      </c>
      <c r="L22" s="8">
        <f t="shared" si="21"/>
        <v>1513.8352929176444</v>
      </c>
      <c r="M22" s="8">
        <f t="shared" si="21"/>
        <v>1585.6845509819987</v>
      </c>
      <c r="N22" s="8">
        <f t="shared" si="21"/>
        <v>1659.5356021249752</v>
      </c>
      <c r="O22" s="8">
        <f t="shared" si="21"/>
        <v>1235.4320826772948</v>
      </c>
      <c r="P22" s="8">
        <f t="shared" si="21"/>
        <v>873.60936212207525</v>
      </c>
      <c r="Q22" s="8">
        <f t="shared" si="21"/>
        <v>516.93159137055238</v>
      </c>
      <c r="R22" s="8">
        <f t="shared" si="21"/>
        <v>665.55951172010964</v>
      </c>
      <c r="S22" s="8">
        <f t="shared" si="21"/>
        <v>167.15872811313534</v>
      </c>
      <c r="T22" s="8">
        <f t="shared" si="21"/>
        <v>326.89985531968546</v>
      </c>
      <c r="U22" s="8">
        <f t="shared" si="21"/>
        <v>492.45866850744926</v>
      </c>
    </row>
    <row r="24" spans="1:21" x14ac:dyDescent="0.25">
      <c r="A24" t="s">
        <v>27</v>
      </c>
      <c r="D24" s="3">
        <f>IF(AVERAGE(B22:D22)&gt;0,-50%*AVERAGE(B22:D22),0)</f>
        <v>-807.11871614583345</v>
      </c>
      <c r="G24" s="3">
        <f>IF(AVERAGE(E22:G22)&gt;0,-50%*AVERAGE(E22:G22),0)</f>
        <v>-577.96694381685256</v>
      </c>
      <c r="J24" s="3">
        <f>IF(AVERAGE(H22:J22)&gt;0,-50%*AVERAGE(H22:J22),0)</f>
        <v>-655.24346797947794</v>
      </c>
      <c r="M24" s="3">
        <f>IF(AVERAGE(K22:M22)&gt;0,-50%*AVERAGE(K22:M22),0)</f>
        <v>-757.24415228652413</v>
      </c>
      <c r="P24" s="3">
        <f>IF(AVERAGE(N22:P22)&gt;0,-50%*AVERAGE(N22:P22),0)</f>
        <v>-628.09617448739084</v>
      </c>
      <c r="S24" s="3">
        <f>IF(AVERAGE(Q22:S22)&gt;0,-50%*AVERAGE(Q22:S22),0)</f>
        <v>-224.9416385339662</v>
      </c>
    </row>
    <row r="25" spans="1:21" x14ac:dyDescent="0.25">
      <c r="A25" t="s">
        <v>26</v>
      </c>
      <c r="B25" s="2">
        <f>-480000/1000</f>
        <v>-480</v>
      </c>
      <c r="C25" s="2">
        <f>-480000/1000</f>
        <v>-480</v>
      </c>
      <c r="D25" s="2">
        <f>-480000/1000</f>
        <v>-480</v>
      </c>
      <c r="E25" s="2">
        <v>700</v>
      </c>
      <c r="F25" s="2">
        <v>700</v>
      </c>
      <c r="G25" s="2">
        <v>700</v>
      </c>
      <c r="H25" s="2">
        <v>700</v>
      </c>
      <c r="I25" s="2">
        <v>700</v>
      </c>
      <c r="J25" s="2">
        <v>700</v>
      </c>
      <c r="K25" s="2">
        <v>700</v>
      </c>
      <c r="L25" s="2">
        <v>700</v>
      </c>
      <c r="M25" s="2">
        <v>700</v>
      </c>
      <c r="N25" s="2">
        <v>700</v>
      </c>
      <c r="O25" s="2">
        <v>700</v>
      </c>
      <c r="P25" s="2">
        <v>700</v>
      </c>
      <c r="Q25" s="2">
        <v>700</v>
      </c>
      <c r="R25" s="2">
        <v>700</v>
      </c>
      <c r="S25" s="2">
        <v>700</v>
      </c>
      <c r="T25" s="2">
        <v>700</v>
      </c>
      <c r="U25" s="2">
        <v>700</v>
      </c>
    </row>
    <row r="26" spans="1:2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5" t="s">
        <v>28</v>
      </c>
      <c r="B27" s="2">
        <f>+B22+B24+B25</f>
        <v>1360</v>
      </c>
      <c r="C27" s="2">
        <f t="shared" ref="C27:U27" si="22">+C22+C24+C25</f>
        <v>1320.9875000000009</v>
      </c>
      <c r="D27" s="2">
        <f t="shared" si="22"/>
        <v>-85.39391927083409</v>
      </c>
      <c r="E27" s="2">
        <f t="shared" si="22"/>
        <v>1862.2102631054686</v>
      </c>
      <c r="F27" s="2">
        <f t="shared" si="22"/>
        <v>1822.4422603623784</v>
      </c>
      <c r="G27" s="2">
        <f t="shared" si="22"/>
        <v>1305.1821956164156</v>
      </c>
      <c r="H27" s="2">
        <f t="shared" si="22"/>
        <v>1945.6138401477883</v>
      </c>
      <c r="I27" s="2">
        <f t="shared" si="22"/>
        <v>2009.8749833027018</v>
      </c>
      <c r="J27" s="2">
        <f t="shared" si="22"/>
        <v>1420.7285164468994</v>
      </c>
      <c r="K27" s="2">
        <f t="shared" si="22"/>
        <v>2143.9450698195019</v>
      </c>
      <c r="L27" s="2">
        <f t="shared" si="22"/>
        <v>2213.8352929176444</v>
      </c>
      <c r="M27" s="2">
        <f t="shared" si="22"/>
        <v>1528.4403986954744</v>
      </c>
      <c r="N27" s="2">
        <f t="shared" si="22"/>
        <v>2359.5356021249754</v>
      </c>
      <c r="O27" s="2">
        <f t="shared" si="22"/>
        <v>1935.4320826772948</v>
      </c>
      <c r="P27" s="2">
        <f t="shared" si="22"/>
        <v>945.51318763468441</v>
      </c>
      <c r="Q27" s="2">
        <f t="shared" si="22"/>
        <v>1216.9315913705523</v>
      </c>
      <c r="R27" s="2">
        <f t="shared" si="22"/>
        <v>1365.5595117201096</v>
      </c>
      <c r="S27" s="2">
        <f t="shared" si="22"/>
        <v>642.21708957916917</v>
      </c>
      <c r="T27" s="2">
        <f t="shared" si="22"/>
        <v>1026.8998553196855</v>
      </c>
      <c r="U27" s="2">
        <f t="shared" si="22"/>
        <v>1192.4586685074491</v>
      </c>
    </row>
    <row r="29" spans="1:21" x14ac:dyDescent="0.25">
      <c r="A29" s="5" t="s">
        <v>23</v>
      </c>
    </row>
    <row r="30" spans="1:21" x14ac:dyDescent="0.25">
      <c r="A30" t="s">
        <v>24</v>
      </c>
      <c r="B30" s="2">
        <f>((-8820000/1000))*0.65</f>
        <v>-5733</v>
      </c>
      <c r="C30" s="2">
        <f>((-8820000/1000))*0.25</f>
        <v>-2205</v>
      </c>
      <c r="D30" s="2">
        <f>((-8820000/1000))*0.1</f>
        <v>-882</v>
      </c>
      <c r="E30" s="2"/>
      <c r="F30" s="2"/>
      <c r="G30" s="2"/>
      <c r="H30" s="2"/>
      <c r="I30" s="2"/>
      <c r="J30" s="2"/>
      <c r="K30" s="2">
        <v>-400</v>
      </c>
      <c r="L30" s="2"/>
      <c r="M30" s="2"/>
      <c r="N30" s="2"/>
      <c r="O30" s="2"/>
      <c r="P30" s="2"/>
      <c r="Q30" s="2"/>
      <c r="R30" s="2"/>
      <c r="S30" s="2">
        <v>-800</v>
      </c>
      <c r="T30" s="2"/>
      <c r="U30" s="2"/>
    </row>
    <row r="31" spans="1:21" x14ac:dyDescent="0.25">
      <c r="A31" t="s">
        <v>2</v>
      </c>
      <c r="B31" s="2">
        <f>-490000/1000</f>
        <v>-490</v>
      </c>
      <c r="C31" s="2"/>
      <c r="D31" s="2"/>
      <c r="E31" s="2"/>
      <c r="F31" s="2"/>
      <c r="G31" s="2"/>
      <c r="H31" s="2"/>
      <c r="I31" s="2"/>
      <c r="J31" s="2"/>
      <c r="K31" s="2">
        <v>-100</v>
      </c>
      <c r="L31" s="2"/>
      <c r="M31" s="2"/>
      <c r="N31" s="2"/>
      <c r="O31" s="2"/>
      <c r="P31" s="2"/>
      <c r="Q31" s="2"/>
      <c r="R31" s="2"/>
      <c r="S31" s="2">
        <v>-200</v>
      </c>
      <c r="T31" s="2"/>
      <c r="U31" s="2"/>
    </row>
    <row r="32" spans="1:21" x14ac:dyDescent="0.25">
      <c r="A32" t="s">
        <v>3</v>
      </c>
      <c r="B32" s="2">
        <f>-100000/1000</f>
        <v>-100</v>
      </c>
      <c r="C32" s="2"/>
      <c r="D32" s="2"/>
      <c r="E32" s="2"/>
      <c r="F32" s="2"/>
      <c r="G32" s="2"/>
      <c r="H32" s="2"/>
      <c r="I32" s="2"/>
      <c r="J32" s="2"/>
      <c r="K32" s="2">
        <v>-25</v>
      </c>
      <c r="L32" s="2"/>
      <c r="M32" s="2"/>
      <c r="N32" s="2"/>
      <c r="O32" s="2"/>
      <c r="P32" s="2"/>
      <c r="Q32" s="2"/>
      <c r="R32" s="2"/>
      <c r="S32" s="2">
        <v>-50</v>
      </c>
      <c r="T32" s="2"/>
      <c r="U32" s="2"/>
    </row>
    <row r="33" spans="1:21" x14ac:dyDescent="0.25">
      <c r="A33" t="s">
        <v>0</v>
      </c>
      <c r="B33" s="2">
        <f>-200000/1000</f>
        <v>-200</v>
      </c>
      <c r="C33" s="2"/>
      <c r="D33" s="2"/>
      <c r="E33" s="2"/>
      <c r="F33" s="2"/>
      <c r="G33" s="2"/>
      <c r="H33" s="2"/>
      <c r="I33" s="2"/>
      <c r="J33" s="2"/>
      <c r="K33" s="2">
        <v>-50</v>
      </c>
      <c r="L33" s="2"/>
      <c r="M33" s="2"/>
      <c r="N33" s="2"/>
      <c r="O33" s="2"/>
      <c r="P33" s="2"/>
      <c r="Q33" s="2"/>
      <c r="R33" s="2"/>
      <c r="S33" s="2">
        <v>-75</v>
      </c>
      <c r="T33" s="2"/>
      <c r="U33" s="2"/>
    </row>
    <row r="34" spans="1:21" x14ac:dyDescent="0.25">
      <c r="A34" s="5" t="s">
        <v>25</v>
      </c>
      <c r="B34" s="8">
        <f>SUM(B30:B33)</f>
        <v>-6523</v>
      </c>
      <c r="C34" s="8">
        <f t="shared" ref="C34:U34" si="23">SUM(C30:C33)</f>
        <v>-2205</v>
      </c>
      <c r="D34" s="8">
        <f t="shared" si="23"/>
        <v>-882</v>
      </c>
      <c r="E34" s="8">
        <f t="shared" si="23"/>
        <v>0</v>
      </c>
      <c r="F34" s="8">
        <f t="shared" si="23"/>
        <v>0</v>
      </c>
      <c r="G34" s="8">
        <f t="shared" si="23"/>
        <v>0</v>
      </c>
      <c r="H34" s="8">
        <f t="shared" si="23"/>
        <v>0</v>
      </c>
      <c r="I34" s="8">
        <f t="shared" si="23"/>
        <v>0</v>
      </c>
      <c r="J34" s="8">
        <f t="shared" si="23"/>
        <v>0</v>
      </c>
      <c r="K34" s="8">
        <f t="shared" si="23"/>
        <v>-575</v>
      </c>
      <c r="L34" s="8">
        <f t="shared" si="23"/>
        <v>0</v>
      </c>
      <c r="M34" s="8">
        <f t="shared" si="23"/>
        <v>0</v>
      </c>
      <c r="N34" s="8">
        <f t="shared" si="23"/>
        <v>0</v>
      </c>
      <c r="O34" s="8">
        <f t="shared" si="23"/>
        <v>0</v>
      </c>
      <c r="P34" s="8">
        <f t="shared" si="23"/>
        <v>0</v>
      </c>
      <c r="Q34" s="8">
        <f t="shared" si="23"/>
        <v>0</v>
      </c>
      <c r="R34" s="8">
        <f t="shared" si="23"/>
        <v>0</v>
      </c>
      <c r="S34" s="8">
        <f t="shared" si="23"/>
        <v>-1125</v>
      </c>
      <c r="T34" s="8">
        <f t="shared" si="23"/>
        <v>0</v>
      </c>
      <c r="U34" s="8">
        <f t="shared" si="23"/>
        <v>0</v>
      </c>
    </row>
    <row r="36" spans="1:21" x14ac:dyDescent="0.25">
      <c r="A36" s="5" t="s">
        <v>29</v>
      </c>
      <c r="B36" s="8">
        <f>+B27+B34</f>
        <v>-5163</v>
      </c>
      <c r="C36" s="8">
        <f t="shared" ref="C36:U36" si="24">+C27+C34</f>
        <v>-884.01249999999914</v>
      </c>
      <c r="D36" s="8">
        <f t="shared" si="24"/>
        <v>-967.39391927083409</v>
      </c>
      <c r="E36" s="8">
        <f t="shared" si="24"/>
        <v>1862.2102631054686</v>
      </c>
      <c r="F36" s="8">
        <f t="shared" si="24"/>
        <v>1822.4422603623784</v>
      </c>
      <c r="G36" s="8">
        <f t="shared" si="24"/>
        <v>1305.1821956164156</v>
      </c>
      <c r="H36" s="8">
        <f t="shared" si="24"/>
        <v>1945.6138401477883</v>
      </c>
      <c r="I36" s="8">
        <f t="shared" si="24"/>
        <v>2009.8749833027018</v>
      </c>
      <c r="J36" s="8">
        <f t="shared" si="24"/>
        <v>1420.7285164468994</v>
      </c>
      <c r="K36" s="8">
        <f t="shared" si="24"/>
        <v>1568.9450698195019</v>
      </c>
      <c r="L36" s="8">
        <f t="shared" si="24"/>
        <v>2213.8352929176444</v>
      </c>
      <c r="M36" s="8">
        <f t="shared" si="24"/>
        <v>1528.4403986954744</v>
      </c>
      <c r="N36" s="8">
        <f t="shared" si="24"/>
        <v>2359.5356021249754</v>
      </c>
      <c r="O36" s="8">
        <f t="shared" si="24"/>
        <v>1935.4320826772948</v>
      </c>
      <c r="P36" s="8">
        <f t="shared" si="24"/>
        <v>945.51318763468441</v>
      </c>
      <c r="Q36" s="8">
        <f t="shared" si="24"/>
        <v>1216.9315913705523</v>
      </c>
      <c r="R36" s="8">
        <f t="shared" si="24"/>
        <v>1365.5595117201096</v>
      </c>
      <c r="S36" s="8">
        <f t="shared" si="24"/>
        <v>-482.78291042083083</v>
      </c>
      <c r="T36" s="8">
        <f t="shared" si="24"/>
        <v>1026.8998553196855</v>
      </c>
      <c r="U36" s="8">
        <f t="shared" si="24"/>
        <v>1192.4586685074491</v>
      </c>
    </row>
    <row r="37" spans="1:21" x14ac:dyDescent="0.25">
      <c r="A37" s="5" t="s">
        <v>30</v>
      </c>
      <c r="C37" s="3">
        <f>+B36+C36</f>
        <v>-6047.0124999999989</v>
      </c>
      <c r="D37" s="3">
        <f>+C37+D36</f>
        <v>-7014.4064192708329</v>
      </c>
      <c r="E37" s="3">
        <f t="shared" ref="E37:U37" si="25">+D37+E36</f>
        <v>-5152.1961561653643</v>
      </c>
      <c r="F37" s="3">
        <f t="shared" si="25"/>
        <v>-3329.7538958029859</v>
      </c>
      <c r="G37" s="3">
        <f t="shared" si="25"/>
        <v>-2024.5717001865703</v>
      </c>
      <c r="H37" s="3">
        <f t="shared" si="25"/>
        <v>-78.957860038781973</v>
      </c>
      <c r="I37" s="3">
        <f t="shared" si="25"/>
        <v>1930.9171232639198</v>
      </c>
      <c r="J37" s="3">
        <f t="shared" si="25"/>
        <v>3351.6456397108195</v>
      </c>
      <c r="K37" s="3">
        <f t="shared" si="25"/>
        <v>4920.590709530321</v>
      </c>
      <c r="L37" s="3">
        <f t="shared" si="25"/>
        <v>7134.4260024479654</v>
      </c>
      <c r="M37" s="3">
        <f t="shared" si="25"/>
        <v>8662.8664011434394</v>
      </c>
      <c r="N37" s="3">
        <f t="shared" si="25"/>
        <v>11022.402003268415</v>
      </c>
      <c r="O37" s="3">
        <f t="shared" si="25"/>
        <v>12957.834085945709</v>
      </c>
      <c r="P37" s="3">
        <f t="shared" si="25"/>
        <v>13903.347273580393</v>
      </c>
      <c r="Q37" s="3">
        <f t="shared" si="25"/>
        <v>15120.278864950946</v>
      </c>
      <c r="R37" s="3">
        <f t="shared" si="25"/>
        <v>16485.838376671054</v>
      </c>
      <c r="S37" s="3">
        <f t="shared" si="25"/>
        <v>16003.055466250224</v>
      </c>
      <c r="T37" s="3">
        <f t="shared" si="25"/>
        <v>17029.955321569909</v>
      </c>
      <c r="U37" s="3">
        <f t="shared" si="25"/>
        <v>18222.413990077359</v>
      </c>
    </row>
    <row r="40" spans="1:21" x14ac:dyDescent="0.25">
      <c r="B40" s="2"/>
      <c r="H40" s="12"/>
    </row>
    <row r="41" spans="1:21" x14ac:dyDescent="0.25">
      <c r="B4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CA2-D5CD-467D-9629-C837947ED4CB}">
  <sheetPr codeName="Sheet3"/>
  <dimension ref="A1:X65"/>
  <sheetViews>
    <sheetView topLeftCell="A3" workbookViewId="0">
      <pane ySplit="1" topLeftCell="A4" activePane="bottomLeft" state="frozen"/>
      <selection activeCell="A3" sqref="A3"/>
      <selection pane="bottomLeft" activeCell="P17" sqref="P17"/>
    </sheetView>
  </sheetViews>
  <sheetFormatPr defaultRowHeight="15" outlineLevelRow="1" x14ac:dyDescent="0.25"/>
  <cols>
    <col min="1" max="1" width="23" bestFit="1" customWidth="1"/>
    <col min="2" max="2" width="13.28515625" bestFit="1" customWidth="1"/>
    <col min="7" max="7" width="9.140625" customWidth="1"/>
    <col min="22" max="22" width="15.28515625" bestFit="1" customWidth="1"/>
    <col min="23" max="23" width="10" bestFit="1" customWidth="1"/>
    <col min="24" max="24" width="11.5703125" bestFit="1" customWidth="1"/>
  </cols>
  <sheetData>
    <row r="1" spans="1:24" hidden="1" outlineLevel="1" x14ac:dyDescent="0.25">
      <c r="A1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4" hidden="1" outlineLevel="1" x14ac:dyDescent="0.25">
      <c r="A2" t="s">
        <v>8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</row>
    <row r="3" spans="1:24" collapsed="1" x14ac:dyDescent="0.25">
      <c r="A3" t="s">
        <v>4</v>
      </c>
      <c r="B3" s="7" t="str">
        <f>+DASHBOARD!E11</f>
        <v>Base Case</v>
      </c>
    </row>
    <row r="4" spans="1:24" x14ac:dyDescent="0.25">
      <c r="A4" t="s">
        <v>33</v>
      </c>
      <c r="B4" s="2">
        <v>8610000</v>
      </c>
    </row>
    <row r="5" spans="1:24" x14ac:dyDescent="0.25">
      <c r="A5" t="s">
        <v>5</v>
      </c>
      <c r="B5" s="2">
        <v>8050000</v>
      </c>
    </row>
    <row r="6" spans="1:24" x14ac:dyDescent="0.25">
      <c r="A6" t="s">
        <v>6</v>
      </c>
      <c r="B6" s="2">
        <v>9250000</v>
      </c>
    </row>
    <row r="8" spans="1:24" x14ac:dyDescent="0.25">
      <c r="B8" s="1" t="str">
        <f>CONCATENATE("Year","",B1)</f>
        <v>Year1</v>
      </c>
      <c r="C8" s="1" t="str">
        <f t="shared" ref="C8:U8" si="0">CONCATENATE("Year","",C1)</f>
        <v>Year2</v>
      </c>
      <c r="D8" s="1" t="str">
        <f t="shared" si="0"/>
        <v>Year3</v>
      </c>
      <c r="E8" s="1" t="str">
        <f t="shared" si="0"/>
        <v>Year4</v>
      </c>
      <c r="F8" s="1" t="str">
        <f t="shared" si="0"/>
        <v>Year5</v>
      </c>
      <c r="G8" s="1" t="str">
        <f t="shared" si="0"/>
        <v>Year6</v>
      </c>
      <c r="H8" s="1" t="str">
        <f t="shared" si="0"/>
        <v>Year7</v>
      </c>
      <c r="I8" s="1" t="str">
        <f t="shared" si="0"/>
        <v>Year8</v>
      </c>
      <c r="J8" s="1" t="str">
        <f t="shared" si="0"/>
        <v>Year9</v>
      </c>
      <c r="K8" s="1" t="str">
        <f t="shared" si="0"/>
        <v>Year10</v>
      </c>
      <c r="L8" s="1" t="str">
        <f t="shared" si="0"/>
        <v>Year11</v>
      </c>
      <c r="M8" s="1" t="str">
        <f t="shared" si="0"/>
        <v>Year12</v>
      </c>
      <c r="N8" s="1" t="str">
        <f t="shared" si="0"/>
        <v>Year13</v>
      </c>
      <c r="O8" s="1" t="str">
        <f t="shared" si="0"/>
        <v>Year14</v>
      </c>
      <c r="P8" s="1" t="str">
        <f t="shared" si="0"/>
        <v>Year15</v>
      </c>
      <c r="Q8" s="1" t="str">
        <f t="shared" si="0"/>
        <v>Year16</v>
      </c>
      <c r="R8" s="1" t="str">
        <f t="shared" si="0"/>
        <v>Year17</v>
      </c>
      <c r="S8" s="1" t="str">
        <f t="shared" si="0"/>
        <v>Year18</v>
      </c>
      <c r="T8" s="1" t="str">
        <f t="shared" si="0"/>
        <v>Year19</v>
      </c>
      <c r="U8" s="1" t="str">
        <f t="shared" si="0"/>
        <v>Year20</v>
      </c>
    </row>
    <row r="9" spans="1:24" x14ac:dyDescent="0.25">
      <c r="A9" t="s">
        <v>0</v>
      </c>
      <c r="B9" s="4">
        <v>0.65</v>
      </c>
      <c r="C9" s="4">
        <v>0.65</v>
      </c>
    </row>
    <row r="10" spans="1:24" x14ac:dyDescent="0.25">
      <c r="A10" t="s">
        <v>1</v>
      </c>
      <c r="D10" s="4">
        <v>0.65</v>
      </c>
      <c r="E10" s="4">
        <v>0.65</v>
      </c>
      <c r="F10" s="4">
        <v>0.65</v>
      </c>
      <c r="G10" s="4">
        <v>0.7</v>
      </c>
      <c r="H10" s="4">
        <v>0.7</v>
      </c>
      <c r="I10" s="4">
        <v>0.7</v>
      </c>
      <c r="J10" s="4">
        <v>0.75</v>
      </c>
      <c r="K10" s="4">
        <v>0.75</v>
      </c>
      <c r="L10" s="4">
        <v>0.75</v>
      </c>
      <c r="M10" s="4">
        <v>0.75</v>
      </c>
      <c r="N10" s="4">
        <v>0.8</v>
      </c>
      <c r="O10" s="4">
        <v>0.8</v>
      </c>
      <c r="P10" s="4">
        <v>0.8</v>
      </c>
      <c r="Q10" s="4">
        <v>0.85</v>
      </c>
      <c r="R10" s="4">
        <v>0.85</v>
      </c>
      <c r="S10" s="4">
        <v>0.85</v>
      </c>
      <c r="T10" s="4">
        <v>0.85</v>
      </c>
      <c r="U10" s="4">
        <v>0.85</v>
      </c>
    </row>
    <row r="11" spans="1:24" x14ac:dyDescent="0.25">
      <c r="A11" t="s">
        <v>2</v>
      </c>
      <c r="B11" s="4">
        <v>0.2</v>
      </c>
      <c r="C11" s="4">
        <v>0.2</v>
      </c>
      <c r="D11" s="4">
        <v>0.2</v>
      </c>
      <c r="E11" s="4">
        <v>0.2</v>
      </c>
      <c r="F11" s="4">
        <v>0.2</v>
      </c>
      <c r="G11" s="4">
        <v>0.15</v>
      </c>
      <c r="H11" s="4">
        <v>0.15</v>
      </c>
      <c r="I11" s="4">
        <v>0.15</v>
      </c>
      <c r="J11" s="4">
        <v>0.1</v>
      </c>
      <c r="K11" s="4">
        <v>0.1</v>
      </c>
      <c r="L11" s="4">
        <v>0.1</v>
      </c>
      <c r="M11" s="4">
        <v>0.1</v>
      </c>
      <c r="N11" s="4">
        <v>0.05</v>
      </c>
      <c r="O11" s="4">
        <v>0.05</v>
      </c>
      <c r="P11" s="4">
        <v>0.05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4" x14ac:dyDescent="0.25">
      <c r="A12" t="s">
        <v>3</v>
      </c>
      <c r="B12" s="4">
        <v>0.15</v>
      </c>
      <c r="C12" s="4">
        <v>0.15</v>
      </c>
      <c r="D12" s="4">
        <v>0.15</v>
      </c>
      <c r="E12" s="4">
        <v>0.15</v>
      </c>
      <c r="F12" s="4">
        <v>0.15</v>
      </c>
      <c r="G12" s="4">
        <v>0.15</v>
      </c>
      <c r="H12" s="4">
        <v>0.15</v>
      </c>
      <c r="I12" s="4">
        <v>0.15</v>
      </c>
      <c r="J12" s="4">
        <v>0.15</v>
      </c>
      <c r="K12" s="4">
        <v>0.15</v>
      </c>
      <c r="L12" s="4">
        <v>0.15</v>
      </c>
      <c r="M12" s="4">
        <v>0.15</v>
      </c>
      <c r="N12" s="4">
        <v>0.15</v>
      </c>
      <c r="O12" s="4">
        <v>0.15</v>
      </c>
      <c r="P12" s="4">
        <v>0.15</v>
      </c>
      <c r="Q12" s="4">
        <v>0.15</v>
      </c>
      <c r="R12" s="4">
        <v>0.15</v>
      </c>
      <c r="S12" s="4">
        <v>0.15</v>
      </c>
      <c r="T12" s="4">
        <v>0.15</v>
      </c>
      <c r="U12" s="4">
        <v>0.15</v>
      </c>
    </row>
    <row r="14" spans="1:24" x14ac:dyDescent="0.25">
      <c r="A14" t="s">
        <v>32</v>
      </c>
    </row>
    <row r="15" spans="1:24" x14ac:dyDescent="0.25">
      <c r="A15" t="s">
        <v>33</v>
      </c>
      <c r="B15">
        <v>8610000</v>
      </c>
      <c r="C15">
        <v>8610000</v>
      </c>
      <c r="D15">
        <v>8050000</v>
      </c>
      <c r="E15">
        <v>8050000</v>
      </c>
      <c r="F15">
        <v>8050000</v>
      </c>
      <c r="G15">
        <v>8150730.0000000009</v>
      </c>
      <c r="H15">
        <v>8253474.6000000015</v>
      </c>
      <c r="I15">
        <v>8358274.0919999992</v>
      </c>
      <c r="J15">
        <v>8465169.5738400016</v>
      </c>
      <c r="K15">
        <v>8574202.9653167985</v>
      </c>
      <c r="L15">
        <v>8685417.024623137</v>
      </c>
      <c r="M15">
        <v>8798855.3651155997</v>
      </c>
      <c r="N15">
        <v>8914562.4724179115</v>
      </c>
      <c r="O15">
        <v>8532583.7218662687</v>
      </c>
      <c r="P15">
        <v>8213156.2335222568</v>
      </c>
      <c r="Q15">
        <v>7899145.9205279248</v>
      </c>
      <c r="R15">
        <v>8090715.2981437631</v>
      </c>
      <c r="S15">
        <v>7635531.7570880763</v>
      </c>
      <c r="T15">
        <v>7838767.7098007193</v>
      </c>
      <c r="U15">
        <v>8048100.7410947401</v>
      </c>
      <c r="V15" s="11">
        <f>SUM(B15:U15)</f>
        <v>165828687.47535717</v>
      </c>
      <c r="X15" s="12"/>
    </row>
    <row r="16" spans="1:24" x14ac:dyDescent="0.25">
      <c r="A16" t="s">
        <v>5</v>
      </c>
      <c r="B16">
        <v>8050000</v>
      </c>
      <c r="C16">
        <v>8050000</v>
      </c>
      <c r="D16">
        <v>8050000</v>
      </c>
      <c r="E16">
        <v>8050000</v>
      </c>
      <c r="F16">
        <v>8050000</v>
      </c>
      <c r="G16">
        <v>8050000</v>
      </c>
      <c r="H16">
        <v>8050000</v>
      </c>
      <c r="I16">
        <v>8050000</v>
      </c>
      <c r="J16">
        <v>8050000</v>
      </c>
      <c r="K16">
        <v>8050000</v>
      </c>
      <c r="L16">
        <v>8050000</v>
      </c>
      <c r="M16">
        <v>8050000</v>
      </c>
      <c r="N16">
        <v>8050000</v>
      </c>
      <c r="O16">
        <v>8050000</v>
      </c>
      <c r="P16">
        <v>8050000</v>
      </c>
      <c r="Q16">
        <v>8050000</v>
      </c>
      <c r="R16">
        <v>8050000</v>
      </c>
      <c r="S16">
        <v>8050000</v>
      </c>
      <c r="T16">
        <v>8050000</v>
      </c>
      <c r="U16">
        <v>8050000</v>
      </c>
      <c r="V16" s="11">
        <f>SUM(B16:U16)</f>
        <v>161000000</v>
      </c>
    </row>
    <row r="17" spans="1:22" x14ac:dyDescent="0.25">
      <c r="A17" t="s">
        <v>6</v>
      </c>
      <c r="B17">
        <v>8610000</v>
      </c>
      <c r="C17">
        <v>8610000</v>
      </c>
      <c r="D17">
        <v>8610000</v>
      </c>
      <c r="E17">
        <f>+D17</f>
        <v>8610000</v>
      </c>
      <c r="F17">
        <f t="shared" ref="F17:U17" si="1">+E17</f>
        <v>8610000</v>
      </c>
      <c r="G17">
        <f>+F17*1.005</f>
        <v>8653050</v>
      </c>
      <c r="H17">
        <f t="shared" si="1"/>
        <v>8653050</v>
      </c>
      <c r="I17">
        <f t="shared" si="1"/>
        <v>8653050</v>
      </c>
      <c r="J17">
        <f t="shared" si="1"/>
        <v>8653050</v>
      </c>
      <c r="K17">
        <f t="shared" si="1"/>
        <v>8653050</v>
      </c>
      <c r="L17">
        <f t="shared" si="1"/>
        <v>8653050</v>
      </c>
      <c r="M17">
        <f t="shared" si="1"/>
        <v>8653050</v>
      </c>
      <c r="N17">
        <f t="shared" si="1"/>
        <v>8653050</v>
      </c>
      <c r="O17">
        <f t="shared" si="1"/>
        <v>8653050</v>
      </c>
      <c r="P17">
        <f>+O17*1.005</f>
        <v>8696315.25</v>
      </c>
      <c r="Q17">
        <f t="shared" si="1"/>
        <v>8696315.25</v>
      </c>
      <c r="R17">
        <f t="shared" si="1"/>
        <v>8696315.25</v>
      </c>
      <c r="S17">
        <f t="shared" si="1"/>
        <v>8696315.25</v>
      </c>
      <c r="T17">
        <f t="shared" si="1"/>
        <v>8696315.25</v>
      </c>
      <c r="U17">
        <f t="shared" si="1"/>
        <v>8696315.25</v>
      </c>
      <c r="V17" s="11">
        <f>SUM(B17:U17)</f>
        <v>173105341.5</v>
      </c>
    </row>
    <row r="20" spans="1:22" x14ac:dyDescent="0.25">
      <c r="A20" t="s">
        <v>0</v>
      </c>
      <c r="B20" s="4">
        <v>0.65</v>
      </c>
      <c r="C20" s="4">
        <v>0.65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2" x14ac:dyDescent="0.25">
      <c r="A21" t="s">
        <v>1</v>
      </c>
      <c r="B21" s="4">
        <v>0</v>
      </c>
      <c r="C21" s="4">
        <v>0</v>
      </c>
      <c r="D21" s="4">
        <v>0.62565217391304351</v>
      </c>
      <c r="E21" s="4">
        <v>0.62565217391304351</v>
      </c>
      <c r="F21" s="4">
        <v>0.62565217391304351</v>
      </c>
      <c r="G21" s="4">
        <v>0.63027851493056453</v>
      </c>
      <c r="H21" s="4">
        <v>0.63488104755299057</v>
      </c>
      <c r="I21" s="4">
        <v>0.63945905974962858</v>
      </c>
      <c r="J21" s="4">
        <v>0.64401185661860216</v>
      </c>
      <c r="K21" s="4">
        <v>0.64853876072332328</v>
      </c>
      <c r="L21" s="4">
        <v>0.6530391124045356</v>
      </c>
      <c r="M21" s="4">
        <v>0.65751227006782265</v>
      </c>
      <c r="N21" s="4">
        <v>0.66195761044651202</v>
      </c>
      <c r="O21" s="4">
        <v>0.70542334163581566</v>
      </c>
      <c r="P21" s="4">
        <v>0.75484455150361851</v>
      </c>
      <c r="Q21" s="4">
        <v>0.80839700706543627</v>
      </c>
      <c r="R21" s="4">
        <v>0.81293372165162714</v>
      </c>
      <c r="S21" s="4">
        <v>0.88723771606335966</v>
      </c>
      <c r="T21" s="4">
        <v>0.89016130699682527</v>
      </c>
      <c r="U21" s="4">
        <v>0.89301823775594502</v>
      </c>
    </row>
    <row r="22" spans="1:22" x14ac:dyDescent="0.25">
      <c r="A22" t="s">
        <v>2</v>
      </c>
      <c r="B22" s="4">
        <v>0.25</v>
      </c>
      <c r="C22" s="4">
        <v>0.25</v>
      </c>
      <c r="D22" s="4">
        <v>0.2673913043478261</v>
      </c>
      <c r="E22" s="4">
        <v>0.2673913043478261</v>
      </c>
      <c r="F22" s="4">
        <v>0.2673913043478261</v>
      </c>
      <c r="G22" s="4">
        <v>0.26408677504959677</v>
      </c>
      <c r="H22" s="4">
        <v>0.26079925174786384</v>
      </c>
      <c r="I22" s="4">
        <v>0.25752924303597963</v>
      </c>
      <c r="J22" s="4">
        <v>0.25427724527242695</v>
      </c>
      <c r="K22" s="4">
        <v>0.25104374234048349</v>
      </c>
      <c r="L22" s="4">
        <v>0.24782920542533163</v>
      </c>
      <c r="M22" s="4">
        <v>0.24463409280869799</v>
      </c>
      <c r="N22" s="4">
        <v>0.24145884968106282</v>
      </c>
      <c r="O22" s="4">
        <v>0.19366935665280069</v>
      </c>
      <c r="P22" s="4">
        <v>0.14032364260843289</v>
      </c>
      <c r="Q22" s="4">
        <v>8.2603867122433325E-2</v>
      </c>
      <c r="R22" s="4">
        <v>8.0647999089734607E-2</v>
      </c>
      <c r="S22" s="4">
        <v>0</v>
      </c>
      <c r="T22" s="4">
        <v>0</v>
      </c>
      <c r="U22" s="4">
        <v>0</v>
      </c>
    </row>
    <row r="23" spans="1:22" x14ac:dyDescent="0.25">
      <c r="A23" t="s">
        <v>3</v>
      </c>
      <c r="B23" s="4">
        <v>0.1</v>
      </c>
      <c r="C23" s="4">
        <v>0.1</v>
      </c>
      <c r="D23" s="4">
        <v>0.10695652173913044</v>
      </c>
      <c r="E23" s="4">
        <v>0.10695652173913044</v>
      </c>
      <c r="F23" s="4">
        <v>0.10695652173913044</v>
      </c>
      <c r="G23" s="4">
        <v>0.10563471001983871</v>
      </c>
      <c r="H23" s="4">
        <v>0.10431970069914553</v>
      </c>
      <c r="I23" s="4">
        <v>0.10301169721439186</v>
      </c>
      <c r="J23" s="4">
        <v>0.10171089810897078</v>
      </c>
      <c r="K23" s="4">
        <v>0.1004174969361934</v>
      </c>
      <c r="L23" s="4">
        <v>9.9131682170132657E-2</v>
      </c>
      <c r="M23" s="4">
        <v>9.7853637123479206E-2</v>
      </c>
      <c r="N23" s="4">
        <v>9.6583539872425128E-2</v>
      </c>
      <c r="O23" s="4">
        <v>0.1009073017113836</v>
      </c>
      <c r="P23" s="4">
        <v>0.10483180588794856</v>
      </c>
      <c r="Q23" s="4">
        <v>0.10899912581213041</v>
      </c>
      <c r="R23" s="4">
        <v>0.1064182792586383</v>
      </c>
      <c r="S23" s="4">
        <v>0.11276228393664034</v>
      </c>
      <c r="T23" s="4">
        <v>0.1098386930031747</v>
      </c>
      <c r="U23" s="4">
        <v>0.10698176224405495</v>
      </c>
    </row>
    <row r="24" spans="1:22" x14ac:dyDescent="0.25">
      <c r="B24" s="4">
        <f>SUM(B20:B23)</f>
        <v>1</v>
      </c>
      <c r="C24" s="4">
        <f t="shared" ref="C24:U24" si="2">SUM(C20:C23)</f>
        <v>1</v>
      </c>
      <c r="D24" s="4">
        <f t="shared" si="2"/>
        <v>1</v>
      </c>
      <c r="E24" s="4">
        <f t="shared" si="2"/>
        <v>1</v>
      </c>
      <c r="F24" s="4">
        <f t="shared" si="2"/>
        <v>1</v>
      </c>
      <c r="G24" s="4">
        <f t="shared" si="2"/>
        <v>1</v>
      </c>
      <c r="H24" s="4">
        <f t="shared" si="2"/>
        <v>0.99999999999999989</v>
      </c>
      <c r="I24" s="4">
        <f t="shared" si="2"/>
        <v>1.0000000000000002</v>
      </c>
      <c r="J24" s="4">
        <f t="shared" si="2"/>
        <v>0.99999999999999989</v>
      </c>
      <c r="K24" s="4">
        <f t="shared" si="2"/>
        <v>1</v>
      </c>
      <c r="L24" s="4">
        <f t="shared" si="2"/>
        <v>0.99999999999999989</v>
      </c>
      <c r="M24" s="4">
        <f t="shared" si="2"/>
        <v>0.99999999999999978</v>
      </c>
      <c r="N24" s="4">
        <f t="shared" si="2"/>
        <v>1</v>
      </c>
      <c r="O24" s="4">
        <f t="shared" si="2"/>
        <v>1</v>
      </c>
      <c r="P24" s="4">
        <f t="shared" si="2"/>
        <v>1</v>
      </c>
      <c r="Q24" s="4">
        <f t="shared" si="2"/>
        <v>1</v>
      </c>
      <c r="R24" s="4">
        <f t="shared" si="2"/>
        <v>1</v>
      </c>
      <c r="S24" s="4">
        <f t="shared" si="2"/>
        <v>1</v>
      </c>
      <c r="T24" s="4">
        <f t="shared" si="2"/>
        <v>1</v>
      </c>
      <c r="U24" s="4">
        <f t="shared" si="2"/>
        <v>1</v>
      </c>
    </row>
    <row r="25" spans="1:22" x14ac:dyDescent="0.25">
      <c r="A25" t="s">
        <v>33</v>
      </c>
    </row>
    <row r="26" spans="1:22" x14ac:dyDescent="0.25">
      <c r="A26" t="s">
        <v>0</v>
      </c>
      <c r="B26">
        <f>IF($B$3="Base Case",B$15*B20,IF($B$3="Worst Case",B$16*B20,IF($B$3="Best Case",B$17*B20,"")))</f>
        <v>5596500</v>
      </c>
      <c r="C26">
        <f t="shared" ref="C26:U26" si="3">IF($B$3="Base Case",C$15*C20,IF($B$3="Worst Case",C$16*C20,IF($B$3="Best Case",C$17*C20,"")))</f>
        <v>5596500</v>
      </c>
      <c r="D26">
        <f t="shared" si="3"/>
        <v>0</v>
      </c>
      <c r="E26">
        <f t="shared" si="3"/>
        <v>0</v>
      </c>
      <c r="F26">
        <f t="shared" si="3"/>
        <v>0</v>
      </c>
      <c r="G26">
        <f t="shared" si="3"/>
        <v>0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  <c r="N26">
        <f t="shared" si="3"/>
        <v>0</v>
      </c>
      <c r="O26">
        <f t="shared" si="3"/>
        <v>0</v>
      </c>
      <c r="P26">
        <f t="shared" si="3"/>
        <v>0</v>
      </c>
      <c r="Q26">
        <f t="shared" si="3"/>
        <v>0</v>
      </c>
      <c r="R26">
        <f t="shared" si="3"/>
        <v>0</v>
      </c>
      <c r="S26">
        <f t="shared" si="3"/>
        <v>0</v>
      </c>
      <c r="T26">
        <f t="shared" si="3"/>
        <v>0</v>
      </c>
      <c r="U26">
        <f t="shared" si="3"/>
        <v>0</v>
      </c>
    </row>
    <row r="27" spans="1:22" x14ac:dyDescent="0.25">
      <c r="A27" t="s">
        <v>1</v>
      </c>
      <c r="B27">
        <f t="shared" ref="B27:C27" si="4">IF($B$3="Base Case",B$15*B21,IF($B$3="Worst Case",B$16*B21,IF($B$3="Best Case",B$17*B21,"")))</f>
        <v>0</v>
      </c>
      <c r="C27">
        <f t="shared" si="4"/>
        <v>0</v>
      </c>
      <c r="D27">
        <f>IF(B51&gt;0,0,IF($B$3="Base Case",D$15*D21,IF($B$3="Worst Case",D$16*D21,IF($B$3="Best Case",D$17*D21,""))))</f>
        <v>5036500</v>
      </c>
      <c r="E27">
        <f>IF(B51&gt;1,0,IF($B$3="Base Case",E$15*E21,IF($B$3="Worst Case",E$16*E21,IF($B$3="Best Case",E$17*E21,""))))</f>
        <v>5036500</v>
      </c>
      <c r="F27">
        <f>IF($B$51&gt;COLUMN(B1),0,IF($B$3="Base Case",F$15*F21,IF($B$3="Worst Case",F$16*F21,IF($B$3="Best Case",F$17*F21,""))))</f>
        <v>5036500</v>
      </c>
      <c r="G27">
        <f t="shared" ref="G27:U27" si="5">IF($B$51&gt;COLUMN(C1),0,IF($B$3="Base Case",G$15*G21,IF($B$3="Worst Case",G$16*G21,IF($B$3="Best Case",G$17*G21,""))))</f>
        <v>5137230.0000000009</v>
      </c>
      <c r="H27">
        <f t="shared" si="5"/>
        <v>5239974.6000000006</v>
      </c>
      <c r="I27">
        <f t="shared" si="5"/>
        <v>5344774.0920000002</v>
      </c>
      <c r="J27">
        <f t="shared" si="5"/>
        <v>5451669.5738400007</v>
      </c>
      <c r="K27">
        <f t="shared" si="5"/>
        <v>5560702.9653168004</v>
      </c>
      <c r="L27">
        <f t="shared" si="5"/>
        <v>5671917.024623136</v>
      </c>
      <c r="M27">
        <f t="shared" si="5"/>
        <v>5785355.3651155988</v>
      </c>
      <c r="N27">
        <f t="shared" si="5"/>
        <v>5901062.4724179106</v>
      </c>
      <c r="O27">
        <f t="shared" si="5"/>
        <v>6019083.7218662687</v>
      </c>
      <c r="P27">
        <f t="shared" si="5"/>
        <v>6199656.2335222568</v>
      </c>
      <c r="Q27">
        <f t="shared" si="5"/>
        <v>6385645.9205279248</v>
      </c>
      <c r="R27">
        <f t="shared" si="5"/>
        <v>6577215.2981437631</v>
      </c>
      <c r="S27">
        <f t="shared" si="5"/>
        <v>6774531.7570880763</v>
      </c>
      <c r="T27">
        <f t="shared" si="5"/>
        <v>6977767.7098007193</v>
      </c>
      <c r="U27">
        <f t="shared" si="5"/>
        <v>7187100.7410947401</v>
      </c>
    </row>
    <row r="28" spans="1:22" x14ac:dyDescent="0.25">
      <c r="A28" t="s">
        <v>2</v>
      </c>
      <c r="B28">
        <f t="shared" ref="B28:U28" si="6">IF($B$3="Base Case",B$15*B22,IF($B$3="Worst Case",B$16*B22,IF($B$3="Best Case",B$17*B22,"")))</f>
        <v>2152500</v>
      </c>
      <c r="C28">
        <f t="shared" si="6"/>
        <v>2152500</v>
      </c>
      <c r="D28">
        <f t="shared" si="6"/>
        <v>2152500</v>
      </c>
      <c r="E28">
        <f t="shared" si="6"/>
        <v>2152500</v>
      </c>
      <c r="F28">
        <f t="shared" si="6"/>
        <v>2152500</v>
      </c>
      <c r="G28">
        <f t="shared" si="6"/>
        <v>2152500</v>
      </c>
      <c r="H28">
        <f t="shared" si="6"/>
        <v>2152500</v>
      </c>
      <c r="I28">
        <f t="shared" si="6"/>
        <v>2152499.9999999995</v>
      </c>
      <c r="J28">
        <f t="shared" si="6"/>
        <v>2152500</v>
      </c>
      <c r="K28">
        <f t="shared" si="6"/>
        <v>2152500</v>
      </c>
      <c r="L28">
        <f t="shared" si="6"/>
        <v>2152500</v>
      </c>
      <c r="M28">
        <f t="shared" si="6"/>
        <v>2152500</v>
      </c>
      <c r="N28">
        <f t="shared" si="6"/>
        <v>2152500</v>
      </c>
      <c r="O28">
        <f t="shared" si="6"/>
        <v>1652500</v>
      </c>
      <c r="P28">
        <f t="shared" si="6"/>
        <v>1152500</v>
      </c>
      <c r="Q28">
        <f t="shared" si="6"/>
        <v>652500</v>
      </c>
      <c r="R28">
        <f t="shared" si="6"/>
        <v>652500.00000000012</v>
      </c>
      <c r="S28">
        <f t="shared" si="6"/>
        <v>0</v>
      </c>
      <c r="T28">
        <f t="shared" si="6"/>
        <v>0</v>
      </c>
      <c r="U28">
        <f t="shared" si="6"/>
        <v>0</v>
      </c>
    </row>
    <row r="29" spans="1:22" x14ac:dyDescent="0.25">
      <c r="A29" t="s">
        <v>3</v>
      </c>
      <c r="B29">
        <f t="shared" ref="B29:U29" si="7">IF($B$3="Base Case",B$15*B23,IF($B$3="Worst Case",B$16*B23,IF($B$3="Best Case",B$17*B23,"")))</f>
        <v>861000</v>
      </c>
      <c r="C29">
        <f t="shared" si="7"/>
        <v>861000</v>
      </c>
      <c r="D29">
        <f t="shared" si="7"/>
        <v>861000</v>
      </c>
      <c r="E29">
        <f t="shared" si="7"/>
        <v>861000</v>
      </c>
      <c r="F29">
        <f t="shared" si="7"/>
        <v>861000</v>
      </c>
      <c r="G29">
        <f t="shared" si="7"/>
        <v>861000</v>
      </c>
      <c r="H29">
        <f t="shared" si="7"/>
        <v>861000.00000000012</v>
      </c>
      <c r="I29">
        <f t="shared" si="7"/>
        <v>861000</v>
      </c>
      <c r="J29">
        <f t="shared" si="7"/>
        <v>861000</v>
      </c>
      <c r="K29">
        <f t="shared" si="7"/>
        <v>861000</v>
      </c>
      <c r="L29">
        <f t="shared" si="7"/>
        <v>861000</v>
      </c>
      <c r="M29">
        <f t="shared" si="7"/>
        <v>861000</v>
      </c>
      <c r="N29">
        <f t="shared" si="7"/>
        <v>861000.00000000012</v>
      </c>
      <c r="O29">
        <f t="shared" si="7"/>
        <v>861000</v>
      </c>
      <c r="P29">
        <f t="shared" si="7"/>
        <v>861000</v>
      </c>
      <c r="Q29">
        <f t="shared" si="7"/>
        <v>860999.99999999988</v>
      </c>
      <c r="R29">
        <f t="shared" si="7"/>
        <v>861000</v>
      </c>
      <c r="S29">
        <f t="shared" si="7"/>
        <v>861000</v>
      </c>
      <c r="T29">
        <f t="shared" si="7"/>
        <v>861000</v>
      </c>
      <c r="U29">
        <f t="shared" si="7"/>
        <v>860999.99999999988</v>
      </c>
    </row>
    <row r="32" spans="1:22" x14ac:dyDescent="0.25">
      <c r="B32">
        <f>IF($B$3="Base Case",B$15*B20,IF($B$3="Worst Case",B$16*B20,IF($B$3="Best Case",B$17*B20,"")))</f>
        <v>5596500</v>
      </c>
      <c r="C32">
        <f t="shared" ref="C32:U32" si="8">IF($B$3="Base Case",C$15*C20,IF($B$3="Worst Case",C$16*C20,IF($B$3="Best Case",C$17*C20,"")))</f>
        <v>5596500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  <c r="K32">
        <f t="shared" si="8"/>
        <v>0</v>
      </c>
      <c r="L32">
        <f t="shared" si="8"/>
        <v>0</v>
      </c>
      <c r="M32">
        <f t="shared" si="8"/>
        <v>0</v>
      </c>
      <c r="N32">
        <f t="shared" si="8"/>
        <v>0</v>
      </c>
      <c r="O32">
        <f t="shared" si="8"/>
        <v>0</v>
      </c>
      <c r="P32">
        <f t="shared" si="8"/>
        <v>0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0</v>
      </c>
      <c r="U32">
        <f t="shared" si="8"/>
        <v>0</v>
      </c>
    </row>
    <row r="33" spans="1:21" x14ac:dyDescent="0.25">
      <c r="B33">
        <f>IF($B$3="Base Case",B$15*B21,IF($B$3="Worst Case",B$16*B21,IF($B$3="Best Case",B$17*B21,"")))</f>
        <v>0</v>
      </c>
      <c r="C33">
        <f t="shared" ref="C33:U33" si="9">IF($B$3="Base Case",C$15*C21,IF($B$3="Worst Case",C$16*C21,IF($B$3="Best Case",C$17*C21,"")))</f>
        <v>0</v>
      </c>
      <c r="D33">
        <f t="shared" si="9"/>
        <v>5036500</v>
      </c>
      <c r="E33">
        <f t="shared" si="9"/>
        <v>5036500</v>
      </c>
      <c r="F33">
        <f t="shared" si="9"/>
        <v>5036500</v>
      </c>
      <c r="G33">
        <f t="shared" si="9"/>
        <v>5137230.0000000009</v>
      </c>
      <c r="H33">
        <f t="shared" si="9"/>
        <v>5239974.6000000006</v>
      </c>
      <c r="I33">
        <f t="shared" si="9"/>
        <v>5344774.0920000002</v>
      </c>
      <c r="J33">
        <f t="shared" si="9"/>
        <v>5451669.5738400007</v>
      </c>
      <c r="K33">
        <f t="shared" si="9"/>
        <v>5560702.9653168004</v>
      </c>
      <c r="L33">
        <f t="shared" si="9"/>
        <v>5671917.024623136</v>
      </c>
      <c r="M33">
        <f t="shared" si="9"/>
        <v>5785355.3651155988</v>
      </c>
      <c r="N33">
        <f t="shared" si="9"/>
        <v>5901062.4724179106</v>
      </c>
      <c r="O33">
        <f t="shared" si="9"/>
        <v>6019083.7218662687</v>
      </c>
      <c r="P33">
        <f t="shared" si="9"/>
        <v>6199656.2335222568</v>
      </c>
      <c r="Q33">
        <f t="shared" si="9"/>
        <v>6385645.9205279248</v>
      </c>
      <c r="R33">
        <f t="shared" si="9"/>
        <v>6577215.2981437631</v>
      </c>
      <c r="S33">
        <f t="shared" si="9"/>
        <v>6774531.7570880763</v>
      </c>
      <c r="T33">
        <f t="shared" si="9"/>
        <v>6977767.7098007193</v>
      </c>
      <c r="U33">
        <f t="shared" si="9"/>
        <v>7187100.7410947401</v>
      </c>
    </row>
    <row r="34" spans="1:21" x14ac:dyDescent="0.25">
      <c r="B34">
        <f>IF($B$3="Base Case",B$15*B22,IF($B$3="Worst Case",B$16*B22,IF($B$3="Best Case",B$17*B22,"")))</f>
        <v>2152500</v>
      </c>
      <c r="C34">
        <f t="shared" ref="C34:U34" si="10">IF($B$3="Base Case",C$15*C22,IF($B$3="Worst Case",C$16*C22,IF($B$3="Best Case",C$17*C22,"")))</f>
        <v>2152500</v>
      </c>
      <c r="D34">
        <f t="shared" si="10"/>
        <v>2152500</v>
      </c>
      <c r="E34">
        <f t="shared" si="10"/>
        <v>2152500</v>
      </c>
      <c r="F34">
        <f t="shared" si="10"/>
        <v>2152500</v>
      </c>
      <c r="G34">
        <f t="shared" si="10"/>
        <v>2152500</v>
      </c>
      <c r="H34">
        <f t="shared" si="10"/>
        <v>2152500</v>
      </c>
      <c r="I34">
        <f t="shared" si="10"/>
        <v>2152499.9999999995</v>
      </c>
      <c r="J34">
        <f t="shared" si="10"/>
        <v>2152500</v>
      </c>
      <c r="K34">
        <f t="shared" si="10"/>
        <v>2152500</v>
      </c>
      <c r="L34">
        <f t="shared" si="10"/>
        <v>2152500</v>
      </c>
      <c r="M34">
        <f t="shared" si="10"/>
        <v>2152500</v>
      </c>
      <c r="N34">
        <f t="shared" si="10"/>
        <v>2152500</v>
      </c>
      <c r="O34">
        <f t="shared" si="10"/>
        <v>1652500</v>
      </c>
      <c r="P34">
        <f t="shared" si="10"/>
        <v>1152500</v>
      </c>
      <c r="Q34">
        <f t="shared" si="10"/>
        <v>652500</v>
      </c>
      <c r="R34">
        <f t="shared" si="10"/>
        <v>652500.00000000012</v>
      </c>
      <c r="S34">
        <f t="shared" si="10"/>
        <v>0</v>
      </c>
      <c r="T34">
        <f t="shared" si="10"/>
        <v>0</v>
      </c>
      <c r="U34">
        <f t="shared" si="10"/>
        <v>0</v>
      </c>
    </row>
    <row r="35" spans="1:21" x14ac:dyDescent="0.25">
      <c r="B35">
        <f>IF($B$3="Base Case",B$15*B23,IF($B$3="Worst Case",B$16*B23,IF($B$3="Best Case",B$17*B23,"")))</f>
        <v>861000</v>
      </c>
      <c r="C35">
        <f t="shared" ref="C35:U35" si="11">IF($B$3="Base Case",C$15*C23,IF($B$3="Worst Case",C$16*C23,IF($B$3="Best Case",C$17*C23,"")))</f>
        <v>861000</v>
      </c>
      <c r="D35">
        <f t="shared" si="11"/>
        <v>861000</v>
      </c>
      <c r="E35">
        <f t="shared" si="11"/>
        <v>861000</v>
      </c>
      <c r="F35">
        <f t="shared" si="11"/>
        <v>861000</v>
      </c>
      <c r="G35">
        <f t="shared" si="11"/>
        <v>861000</v>
      </c>
      <c r="H35">
        <f t="shared" si="11"/>
        <v>861000.00000000012</v>
      </c>
      <c r="I35">
        <f t="shared" si="11"/>
        <v>861000</v>
      </c>
      <c r="J35">
        <f t="shared" si="11"/>
        <v>861000</v>
      </c>
      <c r="K35">
        <f t="shared" si="11"/>
        <v>861000</v>
      </c>
      <c r="L35">
        <f t="shared" si="11"/>
        <v>861000</v>
      </c>
      <c r="M35">
        <f t="shared" si="11"/>
        <v>861000</v>
      </c>
      <c r="N35">
        <f t="shared" si="11"/>
        <v>861000.00000000012</v>
      </c>
      <c r="O35">
        <f t="shared" si="11"/>
        <v>861000</v>
      </c>
      <c r="P35">
        <f t="shared" si="11"/>
        <v>861000</v>
      </c>
      <c r="Q35">
        <f t="shared" si="11"/>
        <v>860999.99999999988</v>
      </c>
      <c r="R35">
        <f t="shared" si="11"/>
        <v>861000</v>
      </c>
      <c r="S35">
        <f t="shared" si="11"/>
        <v>861000</v>
      </c>
      <c r="T35">
        <f t="shared" si="11"/>
        <v>861000</v>
      </c>
      <c r="U35">
        <f t="shared" si="11"/>
        <v>860999.99999999988</v>
      </c>
    </row>
    <row r="37" spans="1:21" x14ac:dyDescent="0.25">
      <c r="A37" t="s">
        <v>11</v>
      </c>
      <c r="B37" s="2">
        <v>5970000</v>
      </c>
    </row>
    <row r="38" spans="1:21" x14ac:dyDescent="0.25">
      <c r="A38" t="s">
        <v>12</v>
      </c>
      <c r="B38" s="4">
        <v>0.45</v>
      </c>
    </row>
    <row r="39" spans="1:21" x14ac:dyDescent="0.25">
      <c r="A39" t="s">
        <v>15</v>
      </c>
      <c r="B39" s="4">
        <v>0.25</v>
      </c>
    </row>
    <row r="40" spans="1:21" x14ac:dyDescent="0.25">
      <c r="A40" t="s">
        <v>16</v>
      </c>
      <c r="B40" s="4">
        <v>0.2</v>
      </c>
    </row>
    <row r="41" spans="1:21" x14ac:dyDescent="0.25">
      <c r="A41" t="s">
        <v>17</v>
      </c>
      <c r="B41" s="4">
        <v>0.1</v>
      </c>
    </row>
    <row r="43" spans="1:21" x14ac:dyDescent="0.25">
      <c r="A43" t="s">
        <v>34</v>
      </c>
      <c r="B43" s="13">
        <v>0.02</v>
      </c>
      <c r="D43" s="12"/>
      <c r="E43" s="4"/>
    </row>
    <row r="44" spans="1:21" x14ac:dyDescent="0.25">
      <c r="B44" s="4"/>
    </row>
    <row r="46" spans="1:21" x14ac:dyDescent="0.25">
      <c r="A46" t="s">
        <v>35</v>
      </c>
      <c r="B46" s="16">
        <f>SUM('Opreating Cashflow'!B34:D34)</f>
        <v>-9610</v>
      </c>
    </row>
    <row r="47" spans="1:21" ht="15.75" x14ac:dyDescent="0.25">
      <c r="A47" s="14" t="s">
        <v>31</v>
      </c>
      <c r="B47" s="15">
        <f>NPV(B60,'Opreating Cashflow'!B27:U27)</f>
        <v>14440.313546853758</v>
      </c>
    </row>
    <row r="48" spans="1:21" x14ac:dyDescent="0.25">
      <c r="A48" t="s">
        <v>36</v>
      </c>
      <c r="B48" s="15">
        <f>+B46+B47</f>
        <v>4830.3135468537585</v>
      </c>
    </row>
    <row r="51" spans="1:2" x14ac:dyDescent="0.25">
      <c r="A51" t="s">
        <v>38</v>
      </c>
      <c r="B51">
        <f>DASHBOARD!E15</f>
        <v>0</v>
      </c>
    </row>
    <row r="52" spans="1:2" x14ac:dyDescent="0.25">
      <c r="A52">
        <v>0</v>
      </c>
    </row>
    <row r="53" spans="1:2" x14ac:dyDescent="0.25">
      <c r="A53">
        <v>1</v>
      </c>
    </row>
    <row r="54" spans="1:2" x14ac:dyDescent="0.25">
      <c r="A54">
        <v>2</v>
      </c>
    </row>
    <row r="55" spans="1:2" x14ac:dyDescent="0.25">
      <c r="A55">
        <v>3</v>
      </c>
    </row>
    <row r="56" spans="1:2" x14ac:dyDescent="0.25">
      <c r="A56">
        <v>4</v>
      </c>
    </row>
    <row r="57" spans="1:2" x14ac:dyDescent="0.25">
      <c r="A57">
        <v>5</v>
      </c>
    </row>
    <row r="58" spans="1:2" x14ac:dyDescent="0.25">
      <c r="A58">
        <v>6</v>
      </c>
    </row>
    <row r="60" spans="1:2" x14ac:dyDescent="0.25">
      <c r="A60" t="s">
        <v>41</v>
      </c>
      <c r="B60" s="18">
        <f>+DASHBOARD!E19</f>
        <v>0.08</v>
      </c>
    </row>
    <row r="61" spans="1:2" x14ac:dyDescent="0.25">
      <c r="A61" s="4">
        <v>0.08</v>
      </c>
    </row>
    <row r="62" spans="1:2" x14ac:dyDescent="0.25">
      <c r="A62" s="4">
        <v>0.09</v>
      </c>
    </row>
    <row r="63" spans="1:2" x14ac:dyDescent="0.25">
      <c r="A63" s="4">
        <v>0.1</v>
      </c>
    </row>
    <row r="64" spans="1:2" x14ac:dyDescent="0.25">
      <c r="A64" s="4">
        <v>0.11</v>
      </c>
    </row>
    <row r="65" spans="1:1" x14ac:dyDescent="0.25">
      <c r="A65" s="4">
        <v>0.12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7C4-B892-4461-AE78-A91BE1260032}">
  <sheetPr codeName="Sheet4"/>
  <dimension ref="A1:U30"/>
  <sheetViews>
    <sheetView showGridLines="0" zoomScale="89" zoomScaleNormal="89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" bestFit="1" customWidth="1"/>
    <col min="3" max="21" width="11.28515625" bestFit="1" customWidth="1"/>
  </cols>
  <sheetData>
    <row r="1" spans="1:21" x14ac:dyDescent="0.25">
      <c r="A1" s="6" t="s">
        <v>7</v>
      </c>
      <c r="B1" s="6" t="str">
        <f>+Data!B8</f>
        <v>Year1</v>
      </c>
      <c r="C1" s="6" t="str">
        <f>+Data!C8</f>
        <v>Year2</v>
      </c>
      <c r="D1" s="6" t="str">
        <f>+Data!D8</f>
        <v>Year3</v>
      </c>
      <c r="E1" s="6" t="str">
        <f>+Data!E8</f>
        <v>Year4</v>
      </c>
      <c r="F1" s="6" t="str">
        <f>+Data!F8</f>
        <v>Year5</v>
      </c>
      <c r="G1" s="6" t="str">
        <f>+Data!G8</f>
        <v>Year6</v>
      </c>
      <c r="H1" s="6" t="str">
        <f>+Data!H8</f>
        <v>Year7</v>
      </c>
      <c r="I1" s="6" t="str">
        <f>+Data!I8</f>
        <v>Year8</v>
      </c>
      <c r="J1" s="6" t="str">
        <f>+Data!J8</f>
        <v>Year9</v>
      </c>
      <c r="K1" s="6" t="str">
        <f>+Data!K8</f>
        <v>Year10</v>
      </c>
      <c r="L1" s="6" t="str">
        <f>+Data!L8</f>
        <v>Year11</v>
      </c>
      <c r="M1" s="6" t="str">
        <f>+Data!M8</f>
        <v>Year12</v>
      </c>
      <c r="N1" s="6" t="str">
        <f>+Data!N8</f>
        <v>Year13</v>
      </c>
      <c r="O1" s="6" t="str">
        <f>+Data!O8</f>
        <v>Year14</v>
      </c>
      <c r="P1" s="6" t="str">
        <f>+Data!P8</f>
        <v>Year15</v>
      </c>
      <c r="Q1" s="6" t="str">
        <f>+Data!Q8</f>
        <v>Year16</v>
      </c>
      <c r="R1" s="6" t="str">
        <f>+Data!R8</f>
        <v>Year17</v>
      </c>
      <c r="S1" s="6" t="str">
        <f>+Data!S8</f>
        <v>Year18</v>
      </c>
      <c r="T1" s="6" t="str">
        <f>+Data!T8</f>
        <v>Year19</v>
      </c>
      <c r="U1" s="6" t="str">
        <f>+Data!U8</f>
        <v>Year20</v>
      </c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9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t="s">
        <v>0</v>
      </c>
      <c r="B4" s="2">
        <f>IF(Data!$B$3="Base Case",Data!$B$4*VLOOKUP('Opreating Cashflow (2)'!$A4,Data!$A$9:$U$12,COLUMN(B1),0)/1000,IF(Data!$B$3="Worst Case",Data!$B$5*VLOOKUP('Opreating Cashflow (2)'!$A4,Data!$A$9:$U$12,COLUMN(B1),0)/1000,IF(Data!$B$3="Best Case",Data!$B$6*VLOOKUP('Opreating Cashflow (2)'!$A4,Data!$A$9:$U$12,COLUMN(B1),0)/1000,"")))</f>
        <v>5596.5</v>
      </c>
      <c r="C4" s="2">
        <f>IF(Data!$B$3="Base Case",Data!$B$4*VLOOKUP('Opreating Cashflow (2)'!$A4,Data!$A$9:$U$12,COLUMN(C1),0)/1000,IF(Data!$B$3="Worst Case",Data!$B$5*VLOOKUP('Opreating Cashflow (2)'!$A4,Data!$A$9:$U$12,COLUMN(C1),0)/1000,IF(Data!$B$3="Best Case",Data!$B$6*VLOOKUP('Opreating Cashflow (2)'!$A4,Data!$A$9:$U$12,COLUMN(C1),0)/1000,"")))</f>
        <v>5596.5</v>
      </c>
      <c r="D4" s="2">
        <f>IF(Data!$B$3="Base Case",Data!$B$4*VLOOKUP('Opreating Cashflow (2)'!$A4,Data!$A$9:$U$12,COLUMN(D1),0)/1000,IF(Data!$B$3="Worst Case",Data!$B$5*VLOOKUP('Opreating Cashflow (2)'!$A4,Data!$A$9:$U$12,COLUMN(D1),0)/1000,IF(Data!$B$3="Best Case",Data!$B$6*VLOOKUP('Opreating Cashflow (2)'!$A4,Data!$A$9:$U$12,COLUMN(D1),0)/1000,"")))</f>
        <v>0</v>
      </c>
      <c r="E4" s="2">
        <f>IF(Data!$B$3="Base Case",Data!$B$4*VLOOKUP('Opreating Cashflow (2)'!$A4,Data!$A$9:$U$12,COLUMN(E1),0)/1000,IF(Data!$B$3="Worst Case",Data!$B$5*VLOOKUP('Opreating Cashflow (2)'!$A4,Data!$A$9:$U$12,COLUMN(E1),0)/1000,IF(Data!$B$3="Best Case",Data!$B$6*VLOOKUP('Opreating Cashflow (2)'!$A4,Data!$A$9:$U$12,COLUMN(E1),0)/1000,"")))</f>
        <v>0</v>
      </c>
      <c r="F4" s="2">
        <f>IF(Data!$B$3="Base Case",Data!$B$4*VLOOKUP('Opreating Cashflow (2)'!$A4,Data!$A$9:$U$12,COLUMN(F1),0)/1000,IF(Data!$B$3="Worst Case",Data!$B$5*VLOOKUP('Opreating Cashflow (2)'!$A4,Data!$A$9:$U$12,COLUMN(F1),0)/1000,IF(Data!$B$3="Best Case",Data!$B$6*VLOOKUP('Opreating Cashflow (2)'!$A4,Data!$A$9:$U$12,COLUMN(F1),0)/1000,"")))</f>
        <v>0</v>
      </c>
      <c r="G4" s="2">
        <f>IF(Data!$B$3="Base Case",Data!$B$4*VLOOKUP('Opreating Cashflow (2)'!$A4,Data!$A$9:$U$12,COLUMN(G1),0)/1000,IF(Data!$B$3="Worst Case",Data!$B$5*VLOOKUP('Opreating Cashflow (2)'!$A4,Data!$A$9:$U$12,COLUMN(G1),0)/1000,IF(Data!$B$3="Best Case",Data!$B$6*VLOOKUP('Opreating Cashflow (2)'!$A4,Data!$A$9:$U$12,COLUMN(G1),0)/1000,"")))</f>
        <v>0</v>
      </c>
      <c r="H4" s="2">
        <f>IF(Data!$B$3="Base Case",Data!$B$4*VLOOKUP('Opreating Cashflow (2)'!$A4,Data!$A$9:$U$12,COLUMN(H1),0)/1000,IF(Data!$B$3="Worst Case",Data!$B$5*VLOOKUP('Opreating Cashflow (2)'!$A4,Data!$A$9:$U$12,COLUMN(H1),0)/1000,IF(Data!$B$3="Best Case",Data!$B$6*VLOOKUP('Opreating Cashflow (2)'!$A4,Data!$A$9:$U$12,COLUMN(H1),0)/1000,"")))</f>
        <v>0</v>
      </c>
      <c r="I4" s="2">
        <f>IF(Data!$B$3="Base Case",Data!$B$4*VLOOKUP('Opreating Cashflow (2)'!$A4,Data!$A$9:$U$12,COLUMN(I1),0)/1000,IF(Data!$B$3="Worst Case",Data!$B$5*VLOOKUP('Opreating Cashflow (2)'!$A4,Data!$A$9:$U$12,COLUMN(I1),0)/1000,IF(Data!$B$3="Best Case",Data!$B$6*VLOOKUP('Opreating Cashflow (2)'!$A4,Data!$A$9:$U$12,COLUMN(I1),0)/1000,"")))</f>
        <v>0</v>
      </c>
      <c r="J4" s="2">
        <f>IF(Data!$B$3="Base Case",Data!$B$4*VLOOKUP('Opreating Cashflow (2)'!$A4,Data!$A$9:$U$12,COLUMN(J1),0)/1000,IF(Data!$B$3="Worst Case",Data!$B$5*VLOOKUP('Opreating Cashflow (2)'!$A4,Data!$A$9:$U$12,COLUMN(J1),0)/1000,IF(Data!$B$3="Best Case",Data!$B$6*VLOOKUP('Opreating Cashflow (2)'!$A4,Data!$A$9:$U$12,COLUMN(J1),0)/1000,"")))</f>
        <v>0</v>
      </c>
      <c r="K4" s="2">
        <f>IF(Data!$B$3="Base Case",Data!$B$4*VLOOKUP('Opreating Cashflow (2)'!$A4,Data!$A$9:$U$12,COLUMN(K1),0)/1000,IF(Data!$B$3="Worst Case",Data!$B$5*VLOOKUP('Opreating Cashflow (2)'!$A4,Data!$A$9:$U$12,COLUMN(K1),0)/1000,IF(Data!$B$3="Best Case",Data!$B$6*VLOOKUP('Opreating Cashflow (2)'!$A4,Data!$A$9:$U$12,COLUMN(K1),0)/1000,"")))</f>
        <v>0</v>
      </c>
      <c r="L4" s="2">
        <f>IF(Data!$B$3="Base Case",Data!$B$4*VLOOKUP('Opreating Cashflow (2)'!$A4,Data!$A$9:$U$12,COLUMN(L1),0)/1000,IF(Data!$B$3="Worst Case",Data!$B$5*VLOOKUP('Opreating Cashflow (2)'!$A4,Data!$A$9:$U$12,COLUMN(L1),0)/1000,IF(Data!$B$3="Best Case",Data!$B$6*VLOOKUP('Opreating Cashflow (2)'!$A4,Data!$A$9:$U$12,COLUMN(L1),0)/1000,"")))</f>
        <v>0</v>
      </c>
      <c r="M4" s="2">
        <f>IF(Data!$B$3="Base Case",Data!$B$4*VLOOKUP('Opreating Cashflow (2)'!$A4,Data!$A$9:$U$12,COLUMN(M1),0)/1000,IF(Data!$B$3="Worst Case",Data!$B$5*VLOOKUP('Opreating Cashflow (2)'!$A4,Data!$A$9:$U$12,COLUMN(M1),0)/1000,IF(Data!$B$3="Best Case",Data!$B$6*VLOOKUP('Opreating Cashflow (2)'!$A4,Data!$A$9:$U$12,COLUMN(M1),0)/1000,"")))</f>
        <v>0</v>
      </c>
      <c r="N4" s="2">
        <f>IF(Data!$B$3="Base Case",Data!$B$4*VLOOKUP('Opreating Cashflow (2)'!$A4,Data!$A$9:$U$12,COLUMN(N1),0)/1000,IF(Data!$B$3="Worst Case",Data!$B$5*VLOOKUP('Opreating Cashflow (2)'!$A4,Data!$A$9:$U$12,COLUMN(N1),0)/1000,IF(Data!$B$3="Best Case",Data!$B$6*VLOOKUP('Opreating Cashflow (2)'!$A4,Data!$A$9:$U$12,COLUMN(N1),0)/1000,"")))</f>
        <v>0</v>
      </c>
      <c r="O4" s="2">
        <f>IF(Data!$B$3="Base Case",Data!$B$4*VLOOKUP('Opreating Cashflow (2)'!$A4,Data!$A$9:$U$12,COLUMN(O1),0)/1000,IF(Data!$B$3="Worst Case",Data!$B$5*VLOOKUP('Opreating Cashflow (2)'!$A4,Data!$A$9:$U$12,COLUMN(O1),0)/1000,IF(Data!$B$3="Best Case",Data!$B$6*VLOOKUP('Opreating Cashflow (2)'!$A4,Data!$A$9:$U$12,COLUMN(O1),0)/1000,"")))</f>
        <v>0</v>
      </c>
      <c r="P4" s="2">
        <f>IF(Data!$B$3="Base Case",Data!$B$4*VLOOKUP('Opreating Cashflow (2)'!$A4,Data!$A$9:$U$12,COLUMN(P1),0)/1000,IF(Data!$B$3="Worst Case",Data!$B$5*VLOOKUP('Opreating Cashflow (2)'!$A4,Data!$A$9:$U$12,COLUMN(P1),0)/1000,IF(Data!$B$3="Best Case",Data!$B$6*VLOOKUP('Opreating Cashflow (2)'!$A4,Data!$A$9:$U$12,COLUMN(P1),0)/1000,"")))</f>
        <v>0</v>
      </c>
      <c r="Q4" s="2">
        <f>IF(Data!$B$3="Base Case",Data!$B$4*VLOOKUP('Opreating Cashflow (2)'!$A4,Data!$A$9:$U$12,COLUMN(Q1),0)/1000,IF(Data!$B$3="Worst Case",Data!$B$5*VLOOKUP('Opreating Cashflow (2)'!$A4,Data!$A$9:$U$12,COLUMN(Q1),0)/1000,IF(Data!$B$3="Best Case",Data!$B$6*VLOOKUP('Opreating Cashflow (2)'!$A4,Data!$A$9:$U$12,COLUMN(Q1),0)/1000,"")))</f>
        <v>0</v>
      </c>
      <c r="R4" s="2">
        <f>IF(Data!$B$3="Base Case",Data!$B$4*VLOOKUP('Opreating Cashflow (2)'!$A4,Data!$A$9:$U$12,COLUMN(R1),0)/1000,IF(Data!$B$3="Worst Case",Data!$B$5*VLOOKUP('Opreating Cashflow (2)'!$A4,Data!$A$9:$U$12,COLUMN(R1),0)/1000,IF(Data!$B$3="Best Case",Data!$B$6*VLOOKUP('Opreating Cashflow (2)'!$A4,Data!$A$9:$U$12,COLUMN(R1),0)/1000,"")))</f>
        <v>0</v>
      </c>
      <c r="S4" s="2">
        <f>IF(Data!$B$3="Base Case",Data!$B$4*VLOOKUP('Opreating Cashflow (2)'!$A4,Data!$A$9:$U$12,COLUMN(S1),0)/1000,IF(Data!$B$3="Worst Case",Data!$B$5*VLOOKUP('Opreating Cashflow (2)'!$A4,Data!$A$9:$U$12,COLUMN(S1),0)/1000,IF(Data!$B$3="Best Case",Data!$B$6*VLOOKUP('Opreating Cashflow (2)'!$A4,Data!$A$9:$U$12,COLUMN(S1),0)/1000,"")))</f>
        <v>0</v>
      </c>
      <c r="T4" s="2">
        <f>IF(Data!$B$3="Base Case",Data!$B$4*VLOOKUP('Opreating Cashflow (2)'!$A4,Data!$A$9:$U$12,COLUMN(T1),0)/1000,IF(Data!$B$3="Worst Case",Data!$B$5*VLOOKUP('Opreating Cashflow (2)'!$A4,Data!$A$9:$U$12,COLUMN(T1),0)/1000,IF(Data!$B$3="Best Case",Data!$B$6*VLOOKUP('Opreating Cashflow (2)'!$A4,Data!$A$9:$U$12,COLUMN(T1),0)/1000,"")))</f>
        <v>0</v>
      </c>
      <c r="U4" s="2">
        <f>IF(Data!$B$3="Base Case",Data!$B$4*VLOOKUP('Opreating Cashflow (2)'!$A4,Data!$A$9:$U$12,COLUMN(U1),0)/1000,IF(Data!$B$3="Worst Case",Data!$B$5*VLOOKUP('Opreating Cashflow (2)'!$A4,Data!$A$9:$U$12,COLUMN(U1),0)/1000,IF(Data!$B$3="Best Case",Data!$B$6*VLOOKUP('Opreating Cashflow (2)'!$A4,Data!$A$9:$U$12,COLUMN(U1),0)/1000,"")))</f>
        <v>0</v>
      </c>
    </row>
    <row r="5" spans="1:21" x14ac:dyDescent="0.25">
      <c r="A5" t="s">
        <v>1</v>
      </c>
      <c r="B5" s="2">
        <f>IF(Data!$B$3="Base Case",Data!$B$4*VLOOKUP('Opreating Cashflow (2)'!$A5,Data!$A$9:$U$12,COLUMN(B4),0)/1000,IF(Data!$B$3="Worst Case",Data!$B$5*VLOOKUP('Opreating Cashflow (2)'!$A5,Data!$A$9:$U$12,COLUMN(B4),0)/1000,IF(Data!$B$3="Best Case",Data!$B$6*VLOOKUP('Opreating Cashflow (2)'!$A5,Data!$A$9:$U$12,COLUMN(B4),0)/1000,"")))</f>
        <v>0</v>
      </c>
      <c r="C5" s="2">
        <f>IF(Data!$B$3="Base Case",Data!$B$4*VLOOKUP('Opreating Cashflow (2)'!$A5,Data!$A$9:$U$12,COLUMN(C4),0)/1000,IF(Data!$B$3="Worst Case",Data!$B$5*VLOOKUP('Opreating Cashflow (2)'!$A5,Data!$A$9:$U$12,COLUMN(C4),0)/1000,IF(Data!$B$3="Best Case",Data!$B$6*VLOOKUP('Opreating Cashflow (2)'!$A5,Data!$A$9:$U$12,COLUMN(C4),0)/1000,"")))</f>
        <v>0</v>
      </c>
      <c r="D5" s="2">
        <f>IF(Data!$B$3="Base Case",Data!$B$4*VLOOKUP('Opreating Cashflow (2)'!$A5,Data!$A$9:$U$12,COLUMN(D4),0)/1000,IF(Data!$B$3="Worst Case",Data!$B$5*VLOOKUP('Opreating Cashflow (2)'!$A5,Data!$A$9:$U$12,COLUMN(D4),0)/1000,IF(Data!$B$3="Best Case",Data!$B$6*VLOOKUP('Opreating Cashflow (2)'!$A5,Data!$A$9:$U$12,COLUMN(D4),0)/1000,"")))</f>
        <v>5596.5</v>
      </c>
      <c r="E5" s="2">
        <f>IF(Data!$B$3="Base Case",Data!$B$4*VLOOKUP('Opreating Cashflow (2)'!$A5,Data!$A$9:$U$12,COLUMN(E4),0)/1000,IF(Data!$B$3="Worst Case",Data!$B$5*VLOOKUP('Opreating Cashflow (2)'!$A5,Data!$A$9:$U$12,COLUMN(E4),0)/1000,IF(Data!$B$3="Best Case",Data!$B$6*VLOOKUP('Opreating Cashflow (2)'!$A5,Data!$A$9:$U$12,COLUMN(E4),0)/1000,"")))</f>
        <v>5596.5</v>
      </c>
      <c r="F5" s="2">
        <f>IF(Data!$B$3="Base Case",Data!$B$4*VLOOKUP('Opreating Cashflow (2)'!$A5,Data!$A$9:$U$12,COLUMN(F4),0)/1000,IF(Data!$B$3="Worst Case",Data!$B$5*VLOOKUP('Opreating Cashflow (2)'!$A5,Data!$A$9:$U$12,COLUMN(F4),0)/1000,IF(Data!$B$3="Best Case",Data!$B$6*VLOOKUP('Opreating Cashflow (2)'!$A5,Data!$A$9:$U$12,COLUMN(F4),0)/1000,"")))</f>
        <v>5596.5</v>
      </c>
      <c r="G5" s="2">
        <f>IF(Data!$B$3="Base Case",Data!$B$4*VLOOKUP('Opreating Cashflow (2)'!$A5,Data!$A$9:$U$12,COLUMN(G4),0)/1000,IF(Data!$B$3="Worst Case",Data!$B$5*VLOOKUP('Opreating Cashflow (2)'!$A5,Data!$A$9:$U$12,COLUMN(G4),0)/1000,IF(Data!$B$3="Best Case",Data!$B$6*VLOOKUP('Opreating Cashflow (2)'!$A5,Data!$A$9:$U$12,COLUMN(G4),0)/1000,"")))</f>
        <v>6027</v>
      </c>
      <c r="H5" s="2">
        <f>IF(Data!$B$3="Base Case",Data!$B$4*VLOOKUP('Opreating Cashflow (2)'!$A5,Data!$A$9:$U$12,COLUMN(H4),0)/1000,IF(Data!$B$3="Worst Case",Data!$B$5*VLOOKUP('Opreating Cashflow (2)'!$A5,Data!$A$9:$U$12,COLUMN(H4),0)/1000,IF(Data!$B$3="Best Case",Data!$B$6*VLOOKUP('Opreating Cashflow (2)'!$A5,Data!$A$9:$U$12,COLUMN(H4),0)/1000,"")))</f>
        <v>6027</v>
      </c>
      <c r="I5" s="2">
        <f>IF(Data!$B$3="Base Case",Data!$B$4*VLOOKUP('Opreating Cashflow (2)'!$A5,Data!$A$9:$U$12,COLUMN(I4),0)/1000,IF(Data!$B$3="Worst Case",Data!$B$5*VLOOKUP('Opreating Cashflow (2)'!$A5,Data!$A$9:$U$12,COLUMN(I4),0)/1000,IF(Data!$B$3="Best Case",Data!$B$6*VLOOKUP('Opreating Cashflow (2)'!$A5,Data!$A$9:$U$12,COLUMN(I4),0)/1000,"")))</f>
        <v>6027</v>
      </c>
      <c r="J5" s="2">
        <f>IF(Data!$B$3="Base Case",Data!$B$4*VLOOKUP('Opreating Cashflow (2)'!$A5,Data!$A$9:$U$12,COLUMN(J4),0)/1000,IF(Data!$B$3="Worst Case",Data!$B$5*VLOOKUP('Opreating Cashflow (2)'!$A5,Data!$A$9:$U$12,COLUMN(J4),0)/1000,IF(Data!$B$3="Best Case",Data!$B$6*VLOOKUP('Opreating Cashflow (2)'!$A5,Data!$A$9:$U$12,COLUMN(J4),0)/1000,"")))</f>
        <v>6457.5</v>
      </c>
      <c r="K5" s="2">
        <f>IF(Data!$B$3="Base Case",Data!$B$4*VLOOKUP('Opreating Cashflow (2)'!$A5,Data!$A$9:$U$12,COLUMN(K4),0)/1000,IF(Data!$B$3="Worst Case",Data!$B$5*VLOOKUP('Opreating Cashflow (2)'!$A5,Data!$A$9:$U$12,COLUMN(K4),0)/1000,IF(Data!$B$3="Best Case",Data!$B$6*VLOOKUP('Opreating Cashflow (2)'!$A5,Data!$A$9:$U$12,COLUMN(K4),0)/1000,"")))</f>
        <v>6457.5</v>
      </c>
      <c r="L5" s="2">
        <f>IF(Data!$B$3="Base Case",Data!$B$4*VLOOKUP('Opreating Cashflow (2)'!$A5,Data!$A$9:$U$12,COLUMN(L4),0)/1000,IF(Data!$B$3="Worst Case",Data!$B$5*VLOOKUP('Opreating Cashflow (2)'!$A5,Data!$A$9:$U$12,COLUMN(L4),0)/1000,IF(Data!$B$3="Best Case",Data!$B$6*VLOOKUP('Opreating Cashflow (2)'!$A5,Data!$A$9:$U$12,COLUMN(L4),0)/1000,"")))</f>
        <v>6457.5</v>
      </c>
      <c r="M5" s="2">
        <f>IF(Data!$B$3="Base Case",Data!$B$4*VLOOKUP('Opreating Cashflow (2)'!$A5,Data!$A$9:$U$12,COLUMN(M4),0)/1000,IF(Data!$B$3="Worst Case",Data!$B$5*VLOOKUP('Opreating Cashflow (2)'!$A5,Data!$A$9:$U$12,COLUMN(M4),0)/1000,IF(Data!$B$3="Best Case",Data!$B$6*VLOOKUP('Opreating Cashflow (2)'!$A5,Data!$A$9:$U$12,COLUMN(M4),0)/1000,"")))</f>
        <v>6457.5</v>
      </c>
      <c r="N5" s="2">
        <f>IF(Data!$B$3="Base Case",Data!$B$4*VLOOKUP('Opreating Cashflow (2)'!$A5,Data!$A$9:$U$12,COLUMN(N4),0)/1000,IF(Data!$B$3="Worst Case",Data!$B$5*VLOOKUP('Opreating Cashflow (2)'!$A5,Data!$A$9:$U$12,COLUMN(N4),0)/1000,IF(Data!$B$3="Best Case",Data!$B$6*VLOOKUP('Opreating Cashflow (2)'!$A5,Data!$A$9:$U$12,COLUMN(N4),0)/1000,"")))</f>
        <v>6888</v>
      </c>
      <c r="O5" s="2">
        <f>IF(Data!$B$3="Base Case",Data!$B$4*VLOOKUP('Opreating Cashflow (2)'!$A5,Data!$A$9:$U$12,COLUMN(O4),0)/1000,IF(Data!$B$3="Worst Case",Data!$B$5*VLOOKUP('Opreating Cashflow (2)'!$A5,Data!$A$9:$U$12,COLUMN(O4),0)/1000,IF(Data!$B$3="Best Case",Data!$B$6*VLOOKUP('Opreating Cashflow (2)'!$A5,Data!$A$9:$U$12,COLUMN(O4),0)/1000,"")))</f>
        <v>6888</v>
      </c>
      <c r="P5" s="2">
        <f>IF(Data!$B$3="Base Case",Data!$B$4*VLOOKUP('Opreating Cashflow (2)'!$A5,Data!$A$9:$U$12,COLUMN(P4),0)/1000,IF(Data!$B$3="Worst Case",Data!$B$5*VLOOKUP('Opreating Cashflow (2)'!$A5,Data!$A$9:$U$12,COLUMN(P4),0)/1000,IF(Data!$B$3="Best Case",Data!$B$6*VLOOKUP('Opreating Cashflow (2)'!$A5,Data!$A$9:$U$12,COLUMN(P4),0)/1000,"")))</f>
        <v>6888</v>
      </c>
      <c r="Q5" s="2">
        <f>IF(Data!$B$3="Base Case",Data!$B$4*VLOOKUP('Opreating Cashflow (2)'!$A5,Data!$A$9:$U$12,COLUMN(Q4),0)/1000,IF(Data!$B$3="Worst Case",Data!$B$5*VLOOKUP('Opreating Cashflow (2)'!$A5,Data!$A$9:$U$12,COLUMN(Q4),0)/1000,IF(Data!$B$3="Best Case",Data!$B$6*VLOOKUP('Opreating Cashflow (2)'!$A5,Data!$A$9:$U$12,COLUMN(Q4),0)/1000,"")))</f>
        <v>7318.5</v>
      </c>
      <c r="R5" s="2">
        <f>IF(Data!$B$3="Base Case",Data!$B$4*VLOOKUP('Opreating Cashflow (2)'!$A5,Data!$A$9:$U$12,COLUMN(R4),0)/1000,IF(Data!$B$3="Worst Case",Data!$B$5*VLOOKUP('Opreating Cashflow (2)'!$A5,Data!$A$9:$U$12,COLUMN(R4),0)/1000,IF(Data!$B$3="Best Case",Data!$B$6*VLOOKUP('Opreating Cashflow (2)'!$A5,Data!$A$9:$U$12,COLUMN(R4),0)/1000,"")))</f>
        <v>7318.5</v>
      </c>
      <c r="S5" s="2">
        <f>IF(Data!$B$3="Base Case",Data!$B$4*VLOOKUP('Opreating Cashflow (2)'!$A5,Data!$A$9:$U$12,COLUMN(S4),0)/1000,IF(Data!$B$3="Worst Case",Data!$B$5*VLOOKUP('Opreating Cashflow (2)'!$A5,Data!$A$9:$U$12,COLUMN(S4),0)/1000,IF(Data!$B$3="Best Case",Data!$B$6*VLOOKUP('Opreating Cashflow (2)'!$A5,Data!$A$9:$U$12,COLUMN(S4),0)/1000,"")))</f>
        <v>7318.5</v>
      </c>
      <c r="T5" s="2">
        <f>IF(Data!$B$3="Base Case",Data!$B$4*VLOOKUP('Opreating Cashflow (2)'!$A5,Data!$A$9:$U$12,COLUMN(T4),0)/1000,IF(Data!$B$3="Worst Case",Data!$B$5*VLOOKUP('Opreating Cashflow (2)'!$A5,Data!$A$9:$U$12,COLUMN(T4),0)/1000,IF(Data!$B$3="Best Case",Data!$B$6*VLOOKUP('Opreating Cashflow (2)'!$A5,Data!$A$9:$U$12,COLUMN(T4),0)/1000,"")))</f>
        <v>7318.5</v>
      </c>
      <c r="U5" s="2">
        <f>IF(Data!$B$3="Base Case",Data!$B$4*VLOOKUP('Opreating Cashflow (2)'!$A5,Data!$A$9:$U$12,COLUMN(U4),0)/1000,IF(Data!$B$3="Worst Case",Data!$B$5*VLOOKUP('Opreating Cashflow (2)'!$A5,Data!$A$9:$U$12,COLUMN(U4),0)/1000,IF(Data!$B$3="Best Case",Data!$B$6*VLOOKUP('Opreating Cashflow (2)'!$A5,Data!$A$9:$U$12,COLUMN(U4),0)/1000,"")))</f>
        <v>7318.5</v>
      </c>
    </row>
    <row r="6" spans="1:21" x14ac:dyDescent="0.25">
      <c r="A6" t="s">
        <v>2</v>
      </c>
      <c r="B6" s="2">
        <f>IF(Data!$B$3="Base Case",Data!$B$4*VLOOKUP('Opreating Cashflow (2)'!$A6,Data!$A$9:$U$12,COLUMN(B5),0)/1000,IF(Data!$B$3="Worst Case",Data!$B$5*VLOOKUP('Opreating Cashflow (2)'!$A6,Data!$A$9:$U$12,COLUMN(B5),0)/1000,IF(Data!$B$3="Best Case",Data!$B$6*VLOOKUP('Opreating Cashflow (2)'!$A6,Data!$A$9:$U$12,COLUMN(B5),0)/1000,"")))</f>
        <v>1722</v>
      </c>
      <c r="C6" s="2">
        <f>IF(Data!$B$3="Base Case",Data!$B$4*VLOOKUP('Opreating Cashflow (2)'!$A6,Data!$A$9:$U$12,COLUMN(C5),0)/1000,IF(Data!$B$3="Worst Case",Data!$B$5*VLOOKUP('Opreating Cashflow (2)'!$A6,Data!$A$9:$U$12,COLUMN(C5),0)/1000,IF(Data!$B$3="Best Case",Data!$B$6*VLOOKUP('Opreating Cashflow (2)'!$A6,Data!$A$9:$U$12,COLUMN(C5),0)/1000,"")))</f>
        <v>1722</v>
      </c>
      <c r="D6" s="2">
        <f>IF(Data!$B$3="Base Case",Data!$B$4*VLOOKUP('Opreating Cashflow (2)'!$A6,Data!$A$9:$U$12,COLUMN(D5),0)/1000,IF(Data!$B$3="Worst Case",Data!$B$5*VLOOKUP('Opreating Cashflow (2)'!$A6,Data!$A$9:$U$12,COLUMN(D5),0)/1000,IF(Data!$B$3="Best Case",Data!$B$6*VLOOKUP('Opreating Cashflow (2)'!$A6,Data!$A$9:$U$12,COLUMN(D5),0)/1000,"")))</f>
        <v>1722</v>
      </c>
      <c r="E6" s="2">
        <f>IF(Data!$B$3="Base Case",Data!$B$4*VLOOKUP('Opreating Cashflow (2)'!$A6,Data!$A$9:$U$12,COLUMN(E5),0)/1000,IF(Data!$B$3="Worst Case",Data!$B$5*VLOOKUP('Opreating Cashflow (2)'!$A6,Data!$A$9:$U$12,COLUMN(E5),0)/1000,IF(Data!$B$3="Best Case",Data!$B$6*VLOOKUP('Opreating Cashflow (2)'!$A6,Data!$A$9:$U$12,COLUMN(E5),0)/1000,"")))</f>
        <v>1722</v>
      </c>
      <c r="F6" s="2">
        <f>IF(Data!$B$3="Base Case",Data!$B$4*VLOOKUP('Opreating Cashflow (2)'!$A6,Data!$A$9:$U$12,COLUMN(F5),0)/1000,IF(Data!$B$3="Worst Case",Data!$B$5*VLOOKUP('Opreating Cashflow (2)'!$A6,Data!$A$9:$U$12,COLUMN(F5),0)/1000,IF(Data!$B$3="Best Case",Data!$B$6*VLOOKUP('Opreating Cashflow (2)'!$A6,Data!$A$9:$U$12,COLUMN(F5),0)/1000,"")))</f>
        <v>1722</v>
      </c>
      <c r="G6" s="2">
        <f>IF(Data!$B$3="Base Case",Data!$B$4*VLOOKUP('Opreating Cashflow (2)'!$A6,Data!$A$9:$U$12,COLUMN(G5),0)/1000,IF(Data!$B$3="Worst Case",Data!$B$5*VLOOKUP('Opreating Cashflow (2)'!$A6,Data!$A$9:$U$12,COLUMN(G5),0)/1000,IF(Data!$B$3="Best Case",Data!$B$6*VLOOKUP('Opreating Cashflow (2)'!$A6,Data!$A$9:$U$12,COLUMN(G5),0)/1000,"")))</f>
        <v>1291.5</v>
      </c>
      <c r="H6" s="2">
        <f>IF(Data!$B$3="Base Case",Data!$B$4*VLOOKUP('Opreating Cashflow (2)'!$A6,Data!$A$9:$U$12,COLUMN(H5),0)/1000,IF(Data!$B$3="Worst Case",Data!$B$5*VLOOKUP('Opreating Cashflow (2)'!$A6,Data!$A$9:$U$12,COLUMN(H5),0)/1000,IF(Data!$B$3="Best Case",Data!$B$6*VLOOKUP('Opreating Cashflow (2)'!$A6,Data!$A$9:$U$12,COLUMN(H5),0)/1000,"")))</f>
        <v>1291.5</v>
      </c>
      <c r="I6" s="2">
        <f>IF(Data!$B$3="Base Case",Data!$B$4*VLOOKUP('Opreating Cashflow (2)'!$A6,Data!$A$9:$U$12,COLUMN(I5),0)/1000,IF(Data!$B$3="Worst Case",Data!$B$5*VLOOKUP('Opreating Cashflow (2)'!$A6,Data!$A$9:$U$12,COLUMN(I5),0)/1000,IF(Data!$B$3="Best Case",Data!$B$6*VLOOKUP('Opreating Cashflow (2)'!$A6,Data!$A$9:$U$12,COLUMN(I5),0)/1000,"")))</f>
        <v>1291.5</v>
      </c>
      <c r="J6" s="2">
        <f>IF(Data!$B$3="Base Case",Data!$B$4*VLOOKUP('Opreating Cashflow (2)'!$A6,Data!$A$9:$U$12,COLUMN(J5),0)/1000,IF(Data!$B$3="Worst Case",Data!$B$5*VLOOKUP('Opreating Cashflow (2)'!$A6,Data!$A$9:$U$12,COLUMN(J5),0)/1000,IF(Data!$B$3="Best Case",Data!$B$6*VLOOKUP('Opreating Cashflow (2)'!$A6,Data!$A$9:$U$12,COLUMN(J5),0)/1000,"")))</f>
        <v>861</v>
      </c>
      <c r="K6" s="2">
        <f>IF(Data!$B$3="Base Case",Data!$B$4*VLOOKUP('Opreating Cashflow (2)'!$A6,Data!$A$9:$U$12,COLUMN(K5),0)/1000,IF(Data!$B$3="Worst Case",Data!$B$5*VLOOKUP('Opreating Cashflow (2)'!$A6,Data!$A$9:$U$12,COLUMN(K5),0)/1000,IF(Data!$B$3="Best Case",Data!$B$6*VLOOKUP('Opreating Cashflow (2)'!$A6,Data!$A$9:$U$12,COLUMN(K5),0)/1000,"")))</f>
        <v>861</v>
      </c>
      <c r="L6" s="2">
        <f>IF(Data!$B$3="Base Case",Data!$B$4*VLOOKUP('Opreating Cashflow (2)'!$A6,Data!$A$9:$U$12,COLUMN(L5),0)/1000,IF(Data!$B$3="Worst Case",Data!$B$5*VLOOKUP('Opreating Cashflow (2)'!$A6,Data!$A$9:$U$12,COLUMN(L5),0)/1000,IF(Data!$B$3="Best Case",Data!$B$6*VLOOKUP('Opreating Cashflow (2)'!$A6,Data!$A$9:$U$12,COLUMN(L5),0)/1000,"")))</f>
        <v>861</v>
      </c>
      <c r="M6" s="2">
        <f>IF(Data!$B$3="Base Case",Data!$B$4*VLOOKUP('Opreating Cashflow (2)'!$A6,Data!$A$9:$U$12,COLUMN(M5),0)/1000,IF(Data!$B$3="Worst Case",Data!$B$5*VLOOKUP('Opreating Cashflow (2)'!$A6,Data!$A$9:$U$12,COLUMN(M5),0)/1000,IF(Data!$B$3="Best Case",Data!$B$6*VLOOKUP('Opreating Cashflow (2)'!$A6,Data!$A$9:$U$12,COLUMN(M5),0)/1000,"")))</f>
        <v>861</v>
      </c>
      <c r="N6" s="2">
        <f>IF(Data!$B$3="Base Case",Data!$B$4*VLOOKUP('Opreating Cashflow (2)'!$A6,Data!$A$9:$U$12,COLUMN(N5),0)/1000,IF(Data!$B$3="Worst Case",Data!$B$5*VLOOKUP('Opreating Cashflow (2)'!$A6,Data!$A$9:$U$12,COLUMN(N5),0)/1000,IF(Data!$B$3="Best Case",Data!$B$6*VLOOKUP('Opreating Cashflow (2)'!$A6,Data!$A$9:$U$12,COLUMN(N5),0)/1000,"")))</f>
        <v>430.5</v>
      </c>
      <c r="O6" s="2">
        <f>IF(Data!$B$3="Base Case",Data!$B$4*VLOOKUP('Opreating Cashflow (2)'!$A6,Data!$A$9:$U$12,COLUMN(O5),0)/1000,IF(Data!$B$3="Worst Case",Data!$B$5*VLOOKUP('Opreating Cashflow (2)'!$A6,Data!$A$9:$U$12,COLUMN(O5),0)/1000,IF(Data!$B$3="Best Case",Data!$B$6*VLOOKUP('Opreating Cashflow (2)'!$A6,Data!$A$9:$U$12,COLUMN(O5),0)/1000,"")))</f>
        <v>430.5</v>
      </c>
      <c r="P6" s="2">
        <f>IF(Data!$B$3="Base Case",Data!$B$4*VLOOKUP('Opreating Cashflow (2)'!$A6,Data!$A$9:$U$12,COLUMN(P5),0)/1000,IF(Data!$B$3="Worst Case",Data!$B$5*VLOOKUP('Opreating Cashflow (2)'!$A6,Data!$A$9:$U$12,COLUMN(P5),0)/1000,IF(Data!$B$3="Best Case",Data!$B$6*VLOOKUP('Opreating Cashflow (2)'!$A6,Data!$A$9:$U$12,COLUMN(P5),0)/1000,"")))</f>
        <v>430.5</v>
      </c>
      <c r="Q6" s="2">
        <f>IF(Data!$B$3="Base Case",Data!$B$4*VLOOKUP('Opreating Cashflow (2)'!$A6,Data!$A$9:$U$12,COLUMN(Q5),0)/1000,IF(Data!$B$3="Worst Case",Data!$B$5*VLOOKUP('Opreating Cashflow (2)'!$A6,Data!$A$9:$U$12,COLUMN(Q5),0)/1000,IF(Data!$B$3="Best Case",Data!$B$6*VLOOKUP('Opreating Cashflow (2)'!$A6,Data!$A$9:$U$12,COLUMN(Q5),0)/1000,"")))</f>
        <v>0</v>
      </c>
      <c r="R6" s="2">
        <f>IF(Data!$B$3="Base Case",Data!$B$4*VLOOKUP('Opreating Cashflow (2)'!$A6,Data!$A$9:$U$12,COLUMN(R5),0)/1000,IF(Data!$B$3="Worst Case",Data!$B$5*VLOOKUP('Opreating Cashflow (2)'!$A6,Data!$A$9:$U$12,COLUMN(R5),0)/1000,IF(Data!$B$3="Best Case",Data!$B$6*VLOOKUP('Opreating Cashflow (2)'!$A6,Data!$A$9:$U$12,COLUMN(R5),0)/1000,"")))</f>
        <v>0</v>
      </c>
      <c r="S6" s="2">
        <f>IF(Data!$B$3="Base Case",Data!$B$4*VLOOKUP('Opreating Cashflow (2)'!$A6,Data!$A$9:$U$12,COLUMN(S5),0)/1000,IF(Data!$B$3="Worst Case",Data!$B$5*VLOOKUP('Opreating Cashflow (2)'!$A6,Data!$A$9:$U$12,COLUMN(S5),0)/1000,IF(Data!$B$3="Best Case",Data!$B$6*VLOOKUP('Opreating Cashflow (2)'!$A6,Data!$A$9:$U$12,COLUMN(S5),0)/1000,"")))</f>
        <v>0</v>
      </c>
      <c r="T6" s="2">
        <f>IF(Data!$B$3="Base Case",Data!$B$4*VLOOKUP('Opreating Cashflow (2)'!$A6,Data!$A$9:$U$12,COLUMN(T5),0)/1000,IF(Data!$B$3="Worst Case",Data!$B$5*VLOOKUP('Opreating Cashflow (2)'!$A6,Data!$A$9:$U$12,COLUMN(T5),0)/1000,IF(Data!$B$3="Best Case",Data!$B$6*VLOOKUP('Opreating Cashflow (2)'!$A6,Data!$A$9:$U$12,COLUMN(T5),0)/1000,"")))</f>
        <v>0</v>
      </c>
      <c r="U6" s="2">
        <f>IF(Data!$B$3="Base Case",Data!$B$4*VLOOKUP('Opreating Cashflow (2)'!$A6,Data!$A$9:$U$12,COLUMN(U5),0)/1000,IF(Data!$B$3="Worst Case",Data!$B$5*VLOOKUP('Opreating Cashflow (2)'!$A6,Data!$A$9:$U$12,COLUMN(U5),0)/1000,IF(Data!$B$3="Best Case",Data!$B$6*VLOOKUP('Opreating Cashflow (2)'!$A6,Data!$A$9:$U$12,COLUMN(U5),0)/1000,"")))</f>
        <v>0</v>
      </c>
    </row>
    <row r="7" spans="1:21" x14ac:dyDescent="0.25">
      <c r="A7" t="s">
        <v>3</v>
      </c>
      <c r="B7" s="2">
        <f>IF(Data!$B$3="Base Case",Data!$B$4*VLOOKUP('Opreating Cashflow (2)'!$A7,Data!$A$9:$U$12,COLUMN(B6),0)/1000,IF(Data!$B$3="Worst Case",Data!$B$5*VLOOKUP('Opreating Cashflow (2)'!$A7,Data!$A$9:$U$12,COLUMN(B6),0)/1000,IF(Data!$B$3="Best Case",Data!$B$6*VLOOKUP('Opreating Cashflow (2)'!$A7,Data!$A$9:$U$12,COLUMN(B6),0)/1000,"")))</f>
        <v>1291.5</v>
      </c>
      <c r="C7" s="2">
        <f>IF(Data!$B$3="Base Case",Data!$B$4*VLOOKUP('Opreating Cashflow (2)'!$A7,Data!$A$9:$U$12,COLUMN(C6),0)/1000,IF(Data!$B$3="Worst Case",Data!$B$5*VLOOKUP('Opreating Cashflow (2)'!$A7,Data!$A$9:$U$12,COLUMN(C6),0)/1000,IF(Data!$B$3="Best Case",Data!$B$6*VLOOKUP('Opreating Cashflow (2)'!$A7,Data!$A$9:$U$12,COLUMN(C6),0)/1000,"")))</f>
        <v>1291.5</v>
      </c>
      <c r="D7" s="2">
        <f>IF(Data!$B$3="Base Case",Data!$B$4*VLOOKUP('Opreating Cashflow (2)'!$A7,Data!$A$9:$U$12,COLUMN(D6),0)/1000,IF(Data!$B$3="Worst Case",Data!$B$5*VLOOKUP('Opreating Cashflow (2)'!$A7,Data!$A$9:$U$12,COLUMN(D6),0)/1000,IF(Data!$B$3="Best Case",Data!$B$6*VLOOKUP('Opreating Cashflow (2)'!$A7,Data!$A$9:$U$12,COLUMN(D6),0)/1000,"")))</f>
        <v>1291.5</v>
      </c>
      <c r="E7" s="2">
        <f>IF(Data!$B$3="Base Case",Data!$B$4*VLOOKUP('Opreating Cashflow (2)'!$A7,Data!$A$9:$U$12,COLUMN(E6),0)/1000,IF(Data!$B$3="Worst Case",Data!$B$5*VLOOKUP('Opreating Cashflow (2)'!$A7,Data!$A$9:$U$12,COLUMN(E6),0)/1000,IF(Data!$B$3="Best Case",Data!$B$6*VLOOKUP('Opreating Cashflow (2)'!$A7,Data!$A$9:$U$12,COLUMN(E6),0)/1000,"")))</f>
        <v>1291.5</v>
      </c>
      <c r="F7" s="2">
        <f>IF(Data!$B$3="Base Case",Data!$B$4*VLOOKUP('Opreating Cashflow (2)'!$A7,Data!$A$9:$U$12,COLUMN(F6),0)/1000,IF(Data!$B$3="Worst Case",Data!$B$5*VLOOKUP('Opreating Cashflow (2)'!$A7,Data!$A$9:$U$12,COLUMN(F6),0)/1000,IF(Data!$B$3="Best Case",Data!$B$6*VLOOKUP('Opreating Cashflow (2)'!$A7,Data!$A$9:$U$12,COLUMN(F6),0)/1000,"")))</f>
        <v>1291.5</v>
      </c>
      <c r="G7" s="2">
        <f>IF(Data!$B$3="Base Case",Data!$B$4*VLOOKUP('Opreating Cashflow (2)'!$A7,Data!$A$9:$U$12,COLUMN(G6),0)/1000,IF(Data!$B$3="Worst Case",Data!$B$5*VLOOKUP('Opreating Cashflow (2)'!$A7,Data!$A$9:$U$12,COLUMN(G6),0)/1000,IF(Data!$B$3="Best Case",Data!$B$6*VLOOKUP('Opreating Cashflow (2)'!$A7,Data!$A$9:$U$12,COLUMN(G6),0)/1000,"")))</f>
        <v>1291.5</v>
      </c>
      <c r="H7" s="2">
        <f>IF(Data!$B$3="Base Case",Data!$B$4*VLOOKUP('Opreating Cashflow (2)'!$A7,Data!$A$9:$U$12,COLUMN(H6),0)/1000,IF(Data!$B$3="Worst Case",Data!$B$5*VLOOKUP('Opreating Cashflow (2)'!$A7,Data!$A$9:$U$12,COLUMN(H6),0)/1000,IF(Data!$B$3="Best Case",Data!$B$6*VLOOKUP('Opreating Cashflow (2)'!$A7,Data!$A$9:$U$12,COLUMN(H6),0)/1000,"")))</f>
        <v>1291.5</v>
      </c>
      <c r="I7" s="2">
        <f>IF(Data!$B$3="Base Case",Data!$B$4*VLOOKUP('Opreating Cashflow (2)'!$A7,Data!$A$9:$U$12,COLUMN(I6),0)/1000,IF(Data!$B$3="Worst Case",Data!$B$5*VLOOKUP('Opreating Cashflow (2)'!$A7,Data!$A$9:$U$12,COLUMN(I6),0)/1000,IF(Data!$B$3="Best Case",Data!$B$6*VLOOKUP('Opreating Cashflow (2)'!$A7,Data!$A$9:$U$12,COLUMN(I6),0)/1000,"")))</f>
        <v>1291.5</v>
      </c>
      <c r="J7" s="2">
        <f>IF(Data!$B$3="Base Case",Data!$B$4*VLOOKUP('Opreating Cashflow (2)'!$A7,Data!$A$9:$U$12,COLUMN(J6),0)/1000,IF(Data!$B$3="Worst Case",Data!$B$5*VLOOKUP('Opreating Cashflow (2)'!$A7,Data!$A$9:$U$12,COLUMN(J6),0)/1000,IF(Data!$B$3="Best Case",Data!$B$6*VLOOKUP('Opreating Cashflow (2)'!$A7,Data!$A$9:$U$12,COLUMN(J6),0)/1000,"")))</f>
        <v>1291.5</v>
      </c>
      <c r="K7" s="2">
        <f>IF(Data!$B$3="Base Case",Data!$B$4*VLOOKUP('Opreating Cashflow (2)'!$A7,Data!$A$9:$U$12,COLUMN(K6),0)/1000,IF(Data!$B$3="Worst Case",Data!$B$5*VLOOKUP('Opreating Cashflow (2)'!$A7,Data!$A$9:$U$12,COLUMN(K6),0)/1000,IF(Data!$B$3="Best Case",Data!$B$6*VLOOKUP('Opreating Cashflow (2)'!$A7,Data!$A$9:$U$12,COLUMN(K6),0)/1000,"")))</f>
        <v>1291.5</v>
      </c>
      <c r="L7" s="2">
        <f>IF(Data!$B$3="Base Case",Data!$B$4*VLOOKUP('Opreating Cashflow (2)'!$A7,Data!$A$9:$U$12,COLUMN(L6),0)/1000,IF(Data!$B$3="Worst Case",Data!$B$5*VLOOKUP('Opreating Cashflow (2)'!$A7,Data!$A$9:$U$12,COLUMN(L6),0)/1000,IF(Data!$B$3="Best Case",Data!$B$6*VLOOKUP('Opreating Cashflow (2)'!$A7,Data!$A$9:$U$12,COLUMN(L6),0)/1000,"")))</f>
        <v>1291.5</v>
      </c>
      <c r="M7" s="2">
        <f>IF(Data!$B$3="Base Case",Data!$B$4*VLOOKUP('Opreating Cashflow (2)'!$A7,Data!$A$9:$U$12,COLUMN(M6),0)/1000,IF(Data!$B$3="Worst Case",Data!$B$5*VLOOKUP('Opreating Cashflow (2)'!$A7,Data!$A$9:$U$12,COLUMN(M6),0)/1000,IF(Data!$B$3="Best Case",Data!$B$6*VLOOKUP('Opreating Cashflow (2)'!$A7,Data!$A$9:$U$12,COLUMN(M6),0)/1000,"")))</f>
        <v>1291.5</v>
      </c>
      <c r="N7" s="2">
        <f>IF(Data!$B$3="Base Case",Data!$B$4*VLOOKUP('Opreating Cashflow (2)'!$A7,Data!$A$9:$U$12,COLUMN(N6),0)/1000,IF(Data!$B$3="Worst Case",Data!$B$5*VLOOKUP('Opreating Cashflow (2)'!$A7,Data!$A$9:$U$12,COLUMN(N6),0)/1000,IF(Data!$B$3="Best Case",Data!$B$6*VLOOKUP('Opreating Cashflow (2)'!$A7,Data!$A$9:$U$12,COLUMN(N6),0)/1000,"")))</f>
        <v>1291.5</v>
      </c>
      <c r="O7" s="2">
        <f>IF(Data!$B$3="Base Case",Data!$B$4*VLOOKUP('Opreating Cashflow (2)'!$A7,Data!$A$9:$U$12,COLUMN(O6),0)/1000,IF(Data!$B$3="Worst Case",Data!$B$5*VLOOKUP('Opreating Cashflow (2)'!$A7,Data!$A$9:$U$12,COLUMN(O6),0)/1000,IF(Data!$B$3="Best Case",Data!$B$6*VLOOKUP('Opreating Cashflow (2)'!$A7,Data!$A$9:$U$12,COLUMN(O6),0)/1000,"")))</f>
        <v>1291.5</v>
      </c>
      <c r="P7" s="2">
        <f>IF(Data!$B$3="Base Case",Data!$B$4*VLOOKUP('Opreating Cashflow (2)'!$A7,Data!$A$9:$U$12,COLUMN(P6),0)/1000,IF(Data!$B$3="Worst Case",Data!$B$5*VLOOKUP('Opreating Cashflow (2)'!$A7,Data!$A$9:$U$12,COLUMN(P6),0)/1000,IF(Data!$B$3="Best Case",Data!$B$6*VLOOKUP('Opreating Cashflow (2)'!$A7,Data!$A$9:$U$12,COLUMN(P6),0)/1000,"")))</f>
        <v>1291.5</v>
      </c>
      <c r="Q7" s="2">
        <f>IF(Data!$B$3="Base Case",Data!$B$4*VLOOKUP('Opreating Cashflow (2)'!$A7,Data!$A$9:$U$12,COLUMN(Q6),0)/1000,IF(Data!$B$3="Worst Case",Data!$B$5*VLOOKUP('Opreating Cashflow (2)'!$A7,Data!$A$9:$U$12,COLUMN(Q6),0)/1000,IF(Data!$B$3="Best Case",Data!$B$6*VLOOKUP('Opreating Cashflow (2)'!$A7,Data!$A$9:$U$12,COLUMN(Q6),0)/1000,"")))</f>
        <v>1291.5</v>
      </c>
      <c r="R7" s="2">
        <f>IF(Data!$B$3="Base Case",Data!$B$4*VLOOKUP('Opreating Cashflow (2)'!$A7,Data!$A$9:$U$12,COLUMN(R6),0)/1000,IF(Data!$B$3="Worst Case",Data!$B$5*VLOOKUP('Opreating Cashflow (2)'!$A7,Data!$A$9:$U$12,COLUMN(R6),0)/1000,IF(Data!$B$3="Best Case",Data!$B$6*VLOOKUP('Opreating Cashflow (2)'!$A7,Data!$A$9:$U$12,COLUMN(R6),0)/1000,"")))</f>
        <v>1291.5</v>
      </c>
      <c r="S7" s="2">
        <f>IF(Data!$B$3="Base Case",Data!$B$4*VLOOKUP('Opreating Cashflow (2)'!$A7,Data!$A$9:$U$12,COLUMN(S6),0)/1000,IF(Data!$B$3="Worst Case",Data!$B$5*VLOOKUP('Opreating Cashflow (2)'!$A7,Data!$A$9:$U$12,COLUMN(S6),0)/1000,IF(Data!$B$3="Best Case",Data!$B$6*VLOOKUP('Opreating Cashflow (2)'!$A7,Data!$A$9:$U$12,COLUMN(S6),0)/1000,"")))</f>
        <v>1291.5</v>
      </c>
      <c r="T7" s="2">
        <f>IF(Data!$B$3="Base Case",Data!$B$4*VLOOKUP('Opreating Cashflow (2)'!$A7,Data!$A$9:$U$12,COLUMN(T6),0)/1000,IF(Data!$B$3="Worst Case",Data!$B$5*VLOOKUP('Opreating Cashflow (2)'!$A7,Data!$A$9:$U$12,COLUMN(T6),0)/1000,IF(Data!$B$3="Best Case",Data!$B$6*VLOOKUP('Opreating Cashflow (2)'!$A7,Data!$A$9:$U$12,COLUMN(T6),0)/1000,"")))</f>
        <v>1291.5</v>
      </c>
      <c r="U7" s="2">
        <f>IF(Data!$B$3="Base Case",Data!$B$4*VLOOKUP('Opreating Cashflow (2)'!$A7,Data!$A$9:$U$12,COLUMN(U6),0)/1000,IF(Data!$B$3="Worst Case",Data!$B$5*VLOOKUP('Opreating Cashflow (2)'!$A7,Data!$A$9:$U$12,COLUMN(U6),0)/1000,IF(Data!$B$3="Best Case",Data!$B$6*VLOOKUP('Opreating Cashflow (2)'!$A7,Data!$A$9:$U$12,COLUMN(U6),0)/1000,"")))</f>
        <v>1291.5</v>
      </c>
    </row>
    <row r="8" spans="1:21" x14ac:dyDescent="0.25">
      <c r="A8" s="5" t="s">
        <v>10</v>
      </c>
      <c r="B8" s="8">
        <f>SUM(B4:B7)</f>
        <v>8610</v>
      </c>
      <c r="C8" s="8">
        <f t="shared" ref="C8:U8" si="0">SUM(C4:C7)</f>
        <v>8610</v>
      </c>
      <c r="D8" s="8">
        <f t="shared" si="0"/>
        <v>8610</v>
      </c>
      <c r="E8" s="8">
        <f t="shared" si="0"/>
        <v>8610</v>
      </c>
      <c r="F8" s="8">
        <f t="shared" si="0"/>
        <v>8610</v>
      </c>
      <c r="G8" s="8">
        <f t="shared" si="0"/>
        <v>8610</v>
      </c>
      <c r="H8" s="8">
        <f t="shared" si="0"/>
        <v>8610</v>
      </c>
      <c r="I8" s="8">
        <f t="shared" si="0"/>
        <v>8610</v>
      </c>
      <c r="J8" s="8">
        <f t="shared" si="0"/>
        <v>8610</v>
      </c>
      <c r="K8" s="8">
        <f t="shared" si="0"/>
        <v>8610</v>
      </c>
      <c r="L8" s="8">
        <f t="shared" si="0"/>
        <v>8610</v>
      </c>
      <c r="M8" s="8">
        <f t="shared" si="0"/>
        <v>8610</v>
      </c>
      <c r="N8" s="8">
        <f t="shared" si="0"/>
        <v>8610</v>
      </c>
      <c r="O8" s="8">
        <f t="shared" si="0"/>
        <v>8610</v>
      </c>
      <c r="P8" s="8">
        <f t="shared" si="0"/>
        <v>8610</v>
      </c>
      <c r="Q8" s="8">
        <f t="shared" si="0"/>
        <v>8610</v>
      </c>
      <c r="R8" s="8">
        <f t="shared" si="0"/>
        <v>8610</v>
      </c>
      <c r="S8" s="8">
        <f t="shared" si="0"/>
        <v>8610</v>
      </c>
      <c r="T8" s="8">
        <f t="shared" si="0"/>
        <v>8610</v>
      </c>
      <c r="U8" s="8">
        <f t="shared" si="0"/>
        <v>8610</v>
      </c>
    </row>
    <row r="11" spans="1:21" x14ac:dyDescent="0.25">
      <c r="A11" s="5" t="s">
        <v>14</v>
      </c>
      <c r="D11" s="3"/>
    </row>
    <row r="12" spans="1:21" x14ac:dyDescent="0.25">
      <c r="A12" t="s">
        <v>12</v>
      </c>
      <c r="B12" s="2">
        <f>-Data!$B$37*VLOOKUP('Opreating Cashflow (2)'!$A12,Data!$A$38:$B$41,2,0)/1000</f>
        <v>-2686.5</v>
      </c>
      <c r="C12" s="2">
        <f>(+B12*(2.5%/4))+B12</f>
        <v>-2703.2906250000001</v>
      </c>
      <c r="D12" s="2">
        <f t="shared" ref="D12:U15" si="1">(+C12*(2.5%/4))+C12</f>
        <v>-2720.1861914062501</v>
      </c>
      <c r="E12" s="2">
        <f t="shared" si="1"/>
        <v>-2737.1873551025392</v>
      </c>
      <c r="F12" s="2">
        <f t="shared" si="1"/>
        <v>-2754.2947760719298</v>
      </c>
      <c r="G12" s="2">
        <f t="shared" si="1"/>
        <v>-2771.5091184223793</v>
      </c>
      <c r="H12" s="2">
        <f t="shared" si="1"/>
        <v>-2788.8310504125193</v>
      </c>
      <c r="I12" s="2">
        <f t="shared" si="1"/>
        <v>-2806.2612444775978</v>
      </c>
      <c r="J12" s="2">
        <f t="shared" si="1"/>
        <v>-2823.8003772555826</v>
      </c>
      <c r="K12" s="2">
        <f t="shared" si="1"/>
        <v>-2841.4491296134302</v>
      </c>
      <c r="L12" s="2">
        <f t="shared" si="1"/>
        <v>-2859.2081866735143</v>
      </c>
      <c r="M12" s="2">
        <f t="shared" si="1"/>
        <v>-2877.0782378402237</v>
      </c>
      <c r="N12" s="2">
        <f t="shared" si="1"/>
        <v>-2895.0599768267252</v>
      </c>
      <c r="O12" s="2">
        <f t="shared" si="1"/>
        <v>-2913.1541016818924</v>
      </c>
      <c r="P12" s="2">
        <f t="shared" si="1"/>
        <v>-2931.361314817404</v>
      </c>
      <c r="Q12" s="2">
        <f t="shared" si="1"/>
        <v>-2949.6823230350128</v>
      </c>
      <c r="R12" s="2">
        <f t="shared" si="1"/>
        <v>-2968.1178375539816</v>
      </c>
      <c r="S12" s="2">
        <f t="shared" si="1"/>
        <v>-2986.6685740386938</v>
      </c>
      <c r="T12" s="2">
        <f t="shared" si="1"/>
        <v>-3005.3352526264357</v>
      </c>
      <c r="U12" s="2">
        <f t="shared" si="1"/>
        <v>-3024.1185979553511</v>
      </c>
    </row>
    <row r="13" spans="1:21" x14ac:dyDescent="0.25">
      <c r="A13" t="s">
        <v>15</v>
      </c>
      <c r="B13" s="2">
        <f>-Data!$B$37*VLOOKUP('Opreating Cashflow (2)'!$A13,Data!$A$38:$B$41,2,0)/1000</f>
        <v>-1492.5</v>
      </c>
      <c r="C13" s="2">
        <f t="shared" ref="C13:R15" si="2">(+B13*(2.5%/4))+B13</f>
        <v>-1501.828125</v>
      </c>
      <c r="D13" s="2">
        <f t="shared" si="2"/>
        <v>-1511.21455078125</v>
      </c>
      <c r="E13" s="2">
        <f t="shared" si="2"/>
        <v>-1520.6596417236328</v>
      </c>
      <c r="F13" s="2">
        <f t="shared" si="2"/>
        <v>-1530.1637644844056</v>
      </c>
      <c r="G13" s="2">
        <f t="shared" si="2"/>
        <v>-1539.7272880124333</v>
      </c>
      <c r="H13" s="2">
        <f t="shared" si="2"/>
        <v>-1549.350583562511</v>
      </c>
      <c r="I13" s="2">
        <f t="shared" si="2"/>
        <v>-1559.0340247097768</v>
      </c>
      <c r="J13" s="2">
        <f t="shared" si="2"/>
        <v>-1568.7779873642128</v>
      </c>
      <c r="K13" s="2">
        <f t="shared" si="2"/>
        <v>-1578.5828497852392</v>
      </c>
      <c r="L13" s="2">
        <f t="shared" si="2"/>
        <v>-1588.4489925963969</v>
      </c>
      <c r="M13" s="2">
        <f t="shared" si="2"/>
        <v>-1598.3767988001243</v>
      </c>
      <c r="N13" s="2">
        <f t="shared" si="2"/>
        <v>-1608.3666537926251</v>
      </c>
      <c r="O13" s="2">
        <f t="shared" si="2"/>
        <v>-1618.418945378829</v>
      </c>
      <c r="P13" s="2">
        <f t="shared" si="2"/>
        <v>-1628.5340637874467</v>
      </c>
      <c r="Q13" s="2">
        <f t="shared" si="2"/>
        <v>-1638.7124016861183</v>
      </c>
      <c r="R13" s="2">
        <f t="shared" si="2"/>
        <v>-1648.9543541966566</v>
      </c>
      <c r="S13" s="2">
        <f t="shared" si="1"/>
        <v>-1659.2603189103856</v>
      </c>
      <c r="T13" s="2">
        <f t="shared" si="1"/>
        <v>-1669.6306959035755</v>
      </c>
      <c r="U13" s="2">
        <f t="shared" si="1"/>
        <v>-1680.0658877529729</v>
      </c>
    </row>
    <row r="14" spans="1:21" x14ac:dyDescent="0.25">
      <c r="A14" t="s">
        <v>16</v>
      </c>
      <c r="B14" s="2">
        <f>-Data!$B$37*VLOOKUP('Opreating Cashflow (2)'!$A14,Data!$A$38:$B$41,2,0)/1000</f>
        <v>-1194</v>
      </c>
      <c r="C14" s="2">
        <f t="shared" si="2"/>
        <v>-1201.4625000000001</v>
      </c>
      <c r="D14" s="2">
        <f t="shared" si="1"/>
        <v>-1208.9716406250002</v>
      </c>
      <c r="E14" s="2">
        <f t="shared" si="1"/>
        <v>-1216.5277133789064</v>
      </c>
      <c r="F14" s="2">
        <f t="shared" si="1"/>
        <v>-1224.1310115875244</v>
      </c>
      <c r="G14" s="2">
        <f t="shared" si="1"/>
        <v>-1231.7818304099465</v>
      </c>
      <c r="H14" s="2">
        <f t="shared" si="1"/>
        <v>-1239.4804668500087</v>
      </c>
      <c r="I14" s="2">
        <f t="shared" si="1"/>
        <v>-1247.2272197678212</v>
      </c>
      <c r="J14" s="2">
        <f t="shared" si="1"/>
        <v>-1255.02238989137</v>
      </c>
      <c r="K14" s="2">
        <f t="shared" si="1"/>
        <v>-1262.8662798281912</v>
      </c>
      <c r="L14" s="2">
        <f t="shared" si="1"/>
        <v>-1270.7591940771174</v>
      </c>
      <c r="M14" s="2">
        <f t="shared" si="1"/>
        <v>-1278.7014390400993</v>
      </c>
      <c r="N14" s="2">
        <f t="shared" si="1"/>
        <v>-1286.6933230340999</v>
      </c>
      <c r="O14" s="2">
        <f t="shared" si="1"/>
        <v>-1294.7351563030629</v>
      </c>
      <c r="P14" s="2">
        <f t="shared" si="1"/>
        <v>-1302.8272510299571</v>
      </c>
      <c r="Q14" s="2">
        <f t="shared" si="1"/>
        <v>-1310.9699213488943</v>
      </c>
      <c r="R14" s="2">
        <f t="shared" si="1"/>
        <v>-1319.1634833573248</v>
      </c>
      <c r="S14" s="2">
        <f t="shared" si="1"/>
        <v>-1327.4082551283082</v>
      </c>
      <c r="T14" s="2">
        <f t="shared" si="1"/>
        <v>-1335.7045567228602</v>
      </c>
      <c r="U14" s="2">
        <f t="shared" si="1"/>
        <v>-1344.052710202378</v>
      </c>
    </row>
    <row r="15" spans="1:21" x14ac:dyDescent="0.25">
      <c r="A15" t="s">
        <v>17</v>
      </c>
      <c r="B15" s="2">
        <f>-Data!$B$37*VLOOKUP('Opreating Cashflow (2)'!$A15,Data!$A$38:$B$41,2,0)/1000</f>
        <v>-597</v>
      </c>
      <c r="C15" s="2">
        <f t="shared" si="2"/>
        <v>-600.73125000000005</v>
      </c>
      <c r="D15" s="2">
        <f t="shared" si="1"/>
        <v>-604.4858203125001</v>
      </c>
      <c r="E15" s="2">
        <f t="shared" si="1"/>
        <v>-608.26385668945318</v>
      </c>
      <c r="F15" s="2">
        <f t="shared" si="1"/>
        <v>-612.06550579376221</v>
      </c>
      <c r="G15" s="2">
        <f t="shared" si="1"/>
        <v>-615.89091520497323</v>
      </c>
      <c r="H15" s="2">
        <f t="shared" si="1"/>
        <v>-619.74023342500436</v>
      </c>
      <c r="I15" s="2">
        <f t="shared" si="1"/>
        <v>-623.61360988391061</v>
      </c>
      <c r="J15" s="2">
        <f t="shared" si="1"/>
        <v>-627.51119494568502</v>
      </c>
      <c r="K15" s="2">
        <f t="shared" si="1"/>
        <v>-631.43313991409559</v>
      </c>
      <c r="L15" s="2">
        <f t="shared" si="1"/>
        <v>-635.3795970385587</v>
      </c>
      <c r="M15" s="2">
        <f t="shared" si="1"/>
        <v>-639.35071952004967</v>
      </c>
      <c r="N15" s="2">
        <f t="shared" si="1"/>
        <v>-643.34666151704994</v>
      </c>
      <c r="O15" s="2">
        <f t="shared" si="1"/>
        <v>-647.36757815153146</v>
      </c>
      <c r="P15" s="2">
        <f t="shared" si="1"/>
        <v>-651.41362551497855</v>
      </c>
      <c r="Q15" s="2">
        <f t="shared" si="1"/>
        <v>-655.48496067444717</v>
      </c>
      <c r="R15" s="2">
        <f t="shared" si="1"/>
        <v>-659.58174167866241</v>
      </c>
      <c r="S15" s="2">
        <f t="shared" si="1"/>
        <v>-663.70412756415408</v>
      </c>
      <c r="T15" s="2">
        <f t="shared" si="1"/>
        <v>-667.85227836143008</v>
      </c>
      <c r="U15" s="2">
        <f t="shared" si="1"/>
        <v>-672.02635510118898</v>
      </c>
    </row>
    <row r="16" spans="1:21" x14ac:dyDescent="0.25">
      <c r="A16" s="5" t="s">
        <v>18</v>
      </c>
      <c r="B16" s="8">
        <f>SUM(B12:B15)</f>
        <v>-5970</v>
      </c>
      <c r="C16" s="8">
        <f t="shared" ref="C16:U16" si="3">SUM(C12:C15)</f>
        <v>-6007.3124999999991</v>
      </c>
      <c r="D16" s="8">
        <f t="shared" si="3"/>
        <v>-6044.8582031250007</v>
      </c>
      <c r="E16" s="8">
        <f t="shared" si="3"/>
        <v>-6082.6385668945313</v>
      </c>
      <c r="F16" s="8">
        <f t="shared" si="3"/>
        <v>-6120.6550579376217</v>
      </c>
      <c r="G16" s="8">
        <f t="shared" si="3"/>
        <v>-6158.9091520497332</v>
      </c>
      <c r="H16" s="8">
        <f t="shared" si="3"/>
        <v>-6197.4023342500432</v>
      </c>
      <c r="I16" s="8">
        <f t="shared" si="3"/>
        <v>-6236.1360988391061</v>
      </c>
      <c r="J16" s="8">
        <f t="shared" si="3"/>
        <v>-6275.1119494568502</v>
      </c>
      <c r="K16" s="8">
        <f t="shared" si="3"/>
        <v>-6314.3313991409559</v>
      </c>
      <c r="L16" s="8">
        <f t="shared" si="3"/>
        <v>-6353.7959703855877</v>
      </c>
      <c r="M16" s="8">
        <f t="shared" si="3"/>
        <v>-6393.5071952004973</v>
      </c>
      <c r="N16" s="8">
        <f t="shared" si="3"/>
        <v>-6433.4666151705005</v>
      </c>
      <c r="O16" s="8">
        <f t="shared" si="3"/>
        <v>-6473.6757815153151</v>
      </c>
      <c r="P16" s="8">
        <f t="shared" si="3"/>
        <v>-6514.1362551497859</v>
      </c>
      <c r="Q16" s="8">
        <f t="shared" si="3"/>
        <v>-6554.849606744473</v>
      </c>
      <c r="R16" s="8">
        <f t="shared" si="3"/>
        <v>-6595.8174167866246</v>
      </c>
      <c r="S16" s="8">
        <f t="shared" si="3"/>
        <v>-6637.0412756415417</v>
      </c>
      <c r="T16" s="8">
        <f t="shared" si="3"/>
        <v>-6678.5227836143004</v>
      </c>
      <c r="U16" s="8">
        <f t="shared" si="3"/>
        <v>-6720.2635510118907</v>
      </c>
    </row>
    <row r="17" spans="1:21" x14ac:dyDescent="0.25">
      <c r="C17" s="2"/>
      <c r="D17" s="2"/>
      <c r="E17" s="3"/>
    </row>
    <row r="18" spans="1:21" x14ac:dyDescent="0.25">
      <c r="A18" t="s">
        <v>19</v>
      </c>
      <c r="B18">
        <f>-630000/1000</f>
        <v>-630</v>
      </c>
      <c r="C18">
        <f t="shared" ref="C18:U18" si="4">-630000/1000</f>
        <v>-630</v>
      </c>
      <c r="D18">
        <f t="shared" si="4"/>
        <v>-630</v>
      </c>
      <c r="E18">
        <f t="shared" si="4"/>
        <v>-630</v>
      </c>
      <c r="F18">
        <f t="shared" si="4"/>
        <v>-630</v>
      </c>
      <c r="G18">
        <f t="shared" si="4"/>
        <v>-630</v>
      </c>
      <c r="H18">
        <f t="shared" si="4"/>
        <v>-630</v>
      </c>
      <c r="I18">
        <f t="shared" si="4"/>
        <v>-630</v>
      </c>
      <c r="J18">
        <f t="shared" si="4"/>
        <v>-630</v>
      </c>
      <c r="K18">
        <f t="shared" si="4"/>
        <v>-630</v>
      </c>
      <c r="L18">
        <f t="shared" si="4"/>
        <v>-630</v>
      </c>
      <c r="M18">
        <f t="shared" si="4"/>
        <v>-630</v>
      </c>
      <c r="N18">
        <f t="shared" si="4"/>
        <v>-630</v>
      </c>
      <c r="O18">
        <f t="shared" si="4"/>
        <v>-630</v>
      </c>
      <c r="P18">
        <f t="shared" si="4"/>
        <v>-630</v>
      </c>
      <c r="Q18">
        <f t="shared" si="4"/>
        <v>-630</v>
      </c>
      <c r="R18">
        <f t="shared" si="4"/>
        <v>-630</v>
      </c>
      <c r="S18">
        <f t="shared" si="4"/>
        <v>-630</v>
      </c>
      <c r="T18">
        <f t="shared" si="4"/>
        <v>-630</v>
      </c>
      <c r="U18">
        <f t="shared" si="4"/>
        <v>-630</v>
      </c>
    </row>
    <row r="19" spans="1:21" x14ac:dyDescent="0.25">
      <c r="A19" t="s">
        <v>20</v>
      </c>
      <c r="B19">
        <f>-170000/1000</f>
        <v>-170</v>
      </c>
      <c r="C19">
        <f t="shared" ref="C19:U19" si="5">-170000/1000</f>
        <v>-170</v>
      </c>
      <c r="D19">
        <f t="shared" si="5"/>
        <v>-170</v>
      </c>
      <c r="E19">
        <f t="shared" si="5"/>
        <v>-170</v>
      </c>
      <c r="F19">
        <f t="shared" si="5"/>
        <v>-170</v>
      </c>
      <c r="G19">
        <f t="shared" si="5"/>
        <v>-170</v>
      </c>
      <c r="H19">
        <f t="shared" si="5"/>
        <v>-170</v>
      </c>
      <c r="I19">
        <f t="shared" si="5"/>
        <v>-170</v>
      </c>
      <c r="J19">
        <f t="shared" si="5"/>
        <v>-170</v>
      </c>
      <c r="K19">
        <f t="shared" si="5"/>
        <v>-170</v>
      </c>
      <c r="L19">
        <f t="shared" si="5"/>
        <v>-170</v>
      </c>
      <c r="M19">
        <f t="shared" si="5"/>
        <v>-170</v>
      </c>
      <c r="N19">
        <f t="shared" si="5"/>
        <v>-170</v>
      </c>
      <c r="O19">
        <f t="shared" si="5"/>
        <v>-170</v>
      </c>
      <c r="P19">
        <f t="shared" si="5"/>
        <v>-170</v>
      </c>
      <c r="Q19">
        <f t="shared" si="5"/>
        <v>-170</v>
      </c>
      <c r="R19">
        <f t="shared" si="5"/>
        <v>-170</v>
      </c>
      <c r="S19">
        <f t="shared" si="5"/>
        <v>-170</v>
      </c>
      <c r="T19">
        <f t="shared" si="5"/>
        <v>-170</v>
      </c>
      <c r="U19">
        <f t="shared" si="5"/>
        <v>-170</v>
      </c>
    </row>
    <row r="20" spans="1:21" x14ac:dyDescent="0.25">
      <c r="A20" t="s">
        <v>21</v>
      </c>
      <c r="B20" s="5">
        <f>+B18+B19</f>
        <v>-800</v>
      </c>
      <c r="C20" s="5">
        <f t="shared" ref="C20:U20" si="6">+C18+C19</f>
        <v>-800</v>
      </c>
      <c r="D20" s="5">
        <f t="shared" si="6"/>
        <v>-800</v>
      </c>
      <c r="E20" s="5">
        <f t="shared" si="6"/>
        <v>-800</v>
      </c>
      <c r="F20" s="5">
        <f t="shared" si="6"/>
        <v>-800</v>
      </c>
      <c r="G20" s="5">
        <f t="shared" si="6"/>
        <v>-800</v>
      </c>
      <c r="H20" s="5">
        <f t="shared" si="6"/>
        <v>-800</v>
      </c>
      <c r="I20" s="5">
        <f t="shared" si="6"/>
        <v>-800</v>
      </c>
      <c r="J20" s="5">
        <f t="shared" si="6"/>
        <v>-800</v>
      </c>
      <c r="K20" s="5">
        <f t="shared" si="6"/>
        <v>-800</v>
      </c>
      <c r="L20" s="5">
        <f t="shared" si="6"/>
        <v>-800</v>
      </c>
      <c r="M20" s="5">
        <f t="shared" si="6"/>
        <v>-800</v>
      </c>
      <c r="N20" s="5">
        <f t="shared" si="6"/>
        <v>-800</v>
      </c>
      <c r="O20" s="5">
        <f t="shared" si="6"/>
        <v>-800</v>
      </c>
      <c r="P20" s="5">
        <f t="shared" si="6"/>
        <v>-800</v>
      </c>
      <c r="Q20" s="5">
        <f t="shared" si="6"/>
        <v>-800</v>
      </c>
      <c r="R20" s="5">
        <f t="shared" si="6"/>
        <v>-800</v>
      </c>
      <c r="S20" s="5">
        <f t="shared" si="6"/>
        <v>-800</v>
      </c>
      <c r="T20" s="5">
        <f t="shared" si="6"/>
        <v>-800</v>
      </c>
      <c r="U20" s="5">
        <f t="shared" si="6"/>
        <v>-800</v>
      </c>
    </row>
    <row r="22" spans="1:21" x14ac:dyDescent="0.25">
      <c r="A22" s="5" t="s">
        <v>22</v>
      </c>
      <c r="B22" s="8">
        <f>+B8+B16+B20</f>
        <v>1840</v>
      </c>
      <c r="C22" s="8">
        <f t="shared" ref="C22:U22" si="7">+C8+C16+C20</f>
        <v>1802.6875000000009</v>
      </c>
      <c r="D22" s="8">
        <f t="shared" si="7"/>
        <v>1765.1417968749993</v>
      </c>
      <c r="E22" s="8">
        <f t="shared" si="7"/>
        <v>1727.3614331054687</v>
      </c>
      <c r="F22" s="8">
        <f t="shared" si="7"/>
        <v>1689.3449420623783</v>
      </c>
      <c r="G22" s="8">
        <f t="shared" si="7"/>
        <v>1651.0908479502668</v>
      </c>
      <c r="H22" s="8">
        <f t="shared" si="7"/>
        <v>1612.5976657499568</v>
      </c>
      <c r="I22" s="8">
        <f t="shared" si="7"/>
        <v>1573.8639011608939</v>
      </c>
      <c r="J22" s="8">
        <f t="shared" si="7"/>
        <v>1534.8880505431498</v>
      </c>
      <c r="K22" s="8">
        <f t="shared" si="7"/>
        <v>1495.6686008590441</v>
      </c>
      <c r="L22" s="8">
        <f t="shared" si="7"/>
        <v>1456.2040296144123</v>
      </c>
      <c r="M22" s="8">
        <f t="shared" si="7"/>
        <v>1416.4928047995027</v>
      </c>
      <c r="N22" s="8">
        <f t="shared" si="7"/>
        <v>1376.5333848294995</v>
      </c>
      <c r="O22" s="8">
        <f t="shared" si="7"/>
        <v>1336.3242184846849</v>
      </c>
      <c r="P22" s="8">
        <f t="shared" si="7"/>
        <v>1295.8637448502141</v>
      </c>
      <c r="Q22" s="8">
        <f t="shared" si="7"/>
        <v>1255.150393255527</v>
      </c>
      <c r="R22" s="8">
        <f t="shared" si="7"/>
        <v>1214.1825832133754</v>
      </c>
      <c r="S22" s="8">
        <f t="shared" si="7"/>
        <v>1172.9587243584583</v>
      </c>
      <c r="T22" s="8">
        <f t="shared" si="7"/>
        <v>1131.4772163856996</v>
      </c>
      <c r="U22" s="8">
        <f t="shared" si="7"/>
        <v>1089.7364489881093</v>
      </c>
    </row>
    <row r="25" spans="1:21" x14ac:dyDescent="0.25">
      <c r="A25" s="5" t="s">
        <v>23</v>
      </c>
    </row>
    <row r="26" spans="1:21" x14ac:dyDescent="0.25">
      <c r="A26" t="s">
        <v>24</v>
      </c>
      <c r="B26" s="2">
        <f>((-8820000/1000))*0.65</f>
        <v>-5733</v>
      </c>
      <c r="C26" s="2">
        <f>((-8820000/1000))*0.25</f>
        <v>-2205</v>
      </c>
      <c r="D26" s="2">
        <f>((-8820000/1000))*0.1</f>
        <v>-882</v>
      </c>
      <c r="E26" s="2"/>
      <c r="F26" s="2"/>
      <c r="G26" s="2"/>
      <c r="H26" s="2">
        <v>-1000</v>
      </c>
      <c r="I26" s="2"/>
      <c r="J26" s="2"/>
      <c r="K26" s="2"/>
      <c r="L26" s="2"/>
      <c r="M26" s="2"/>
      <c r="N26" s="2"/>
      <c r="O26" s="2">
        <v>-1000</v>
      </c>
      <c r="P26" s="2"/>
      <c r="Q26" s="2"/>
      <c r="R26" s="2"/>
      <c r="S26" s="2"/>
      <c r="T26" s="2"/>
      <c r="U26" s="2"/>
    </row>
    <row r="27" spans="1:21" x14ac:dyDescent="0.25">
      <c r="A27" t="s">
        <v>2</v>
      </c>
      <c r="B27" s="2">
        <f>-490000/1000</f>
        <v>-490</v>
      </c>
      <c r="C27" s="2"/>
      <c r="D27" s="2"/>
      <c r="E27" s="2"/>
      <c r="F27" s="2"/>
      <c r="G27" s="2"/>
      <c r="H27" s="2">
        <f>+B27/2</f>
        <v>-245</v>
      </c>
      <c r="I27" s="2"/>
      <c r="J27" s="2"/>
      <c r="K27" s="2"/>
      <c r="L27" s="2"/>
      <c r="M27" s="2"/>
      <c r="N27" s="2"/>
      <c r="O27" s="2">
        <f>+H27</f>
        <v>-245</v>
      </c>
      <c r="P27" s="2"/>
      <c r="Q27" s="2"/>
      <c r="R27" s="2"/>
      <c r="S27" s="2"/>
      <c r="T27" s="2"/>
      <c r="U27" s="2"/>
    </row>
    <row r="28" spans="1:21" x14ac:dyDescent="0.25">
      <c r="A28" t="s">
        <v>3</v>
      </c>
      <c r="B28" s="2">
        <f>-100000/1000</f>
        <v>-100</v>
      </c>
      <c r="C28" s="2"/>
      <c r="D28" s="2"/>
      <c r="E28" s="2"/>
      <c r="F28" s="2"/>
      <c r="G28" s="2"/>
      <c r="H28" s="2">
        <f>+B28/2</f>
        <v>-50</v>
      </c>
      <c r="I28" s="2"/>
      <c r="J28" s="2"/>
      <c r="K28" s="2"/>
      <c r="L28" s="2"/>
      <c r="M28" s="2"/>
      <c r="N28" s="2"/>
      <c r="O28" s="2">
        <f>+H28</f>
        <v>-50</v>
      </c>
      <c r="P28" s="2"/>
      <c r="Q28" s="2"/>
      <c r="R28" s="2"/>
      <c r="S28" s="2"/>
      <c r="T28" s="2"/>
      <c r="U28" s="2"/>
    </row>
    <row r="29" spans="1:21" x14ac:dyDescent="0.25">
      <c r="A29" t="s">
        <v>0</v>
      </c>
      <c r="B29" s="2">
        <f>-200000/1000</f>
        <v>-200</v>
      </c>
      <c r="C29" s="2"/>
      <c r="D29" s="2"/>
      <c r="E29" s="2"/>
      <c r="F29" s="2"/>
      <c r="G29" s="2"/>
      <c r="H29" s="2">
        <f>+B29/2</f>
        <v>-100</v>
      </c>
      <c r="I29" s="2"/>
      <c r="J29" s="2"/>
      <c r="K29" s="2"/>
      <c r="L29" s="2"/>
      <c r="M29" s="2"/>
      <c r="N29" s="2"/>
      <c r="O29" s="2">
        <f>+H29</f>
        <v>-100</v>
      </c>
      <c r="P29" s="2"/>
      <c r="Q29" s="2"/>
      <c r="R29" s="2"/>
      <c r="S29" s="2"/>
      <c r="T29" s="2"/>
      <c r="U29" s="2"/>
    </row>
    <row r="30" spans="1:21" x14ac:dyDescent="0.25">
      <c r="A30" s="5" t="s">
        <v>25</v>
      </c>
      <c r="B30" s="8">
        <f>SUM(B26:B29)</f>
        <v>-6523</v>
      </c>
      <c r="C30" s="8">
        <f t="shared" ref="C30:U30" si="8">SUM(C26:C29)</f>
        <v>-2205</v>
      </c>
      <c r="D30" s="8">
        <f t="shared" si="8"/>
        <v>-882</v>
      </c>
      <c r="E30" s="8">
        <f t="shared" si="8"/>
        <v>0</v>
      </c>
      <c r="F30" s="8">
        <f t="shared" si="8"/>
        <v>0</v>
      </c>
      <c r="G30" s="8">
        <f t="shared" si="8"/>
        <v>0</v>
      </c>
      <c r="H30" s="8">
        <f t="shared" si="8"/>
        <v>-1395</v>
      </c>
      <c r="I30" s="8">
        <f t="shared" si="8"/>
        <v>0</v>
      </c>
      <c r="J30" s="8">
        <f t="shared" si="8"/>
        <v>0</v>
      </c>
      <c r="K30" s="8">
        <f t="shared" si="8"/>
        <v>0</v>
      </c>
      <c r="L30" s="8">
        <f t="shared" si="8"/>
        <v>0</v>
      </c>
      <c r="M30" s="8">
        <f t="shared" si="8"/>
        <v>0</v>
      </c>
      <c r="N30" s="8">
        <f t="shared" si="8"/>
        <v>0</v>
      </c>
      <c r="O30" s="8">
        <f t="shared" si="8"/>
        <v>-1395</v>
      </c>
      <c r="P30" s="8">
        <f t="shared" si="8"/>
        <v>0</v>
      </c>
      <c r="Q30" s="8">
        <f t="shared" si="8"/>
        <v>0</v>
      </c>
      <c r="R30" s="8">
        <f t="shared" si="8"/>
        <v>0</v>
      </c>
      <c r="S30" s="8">
        <f t="shared" si="8"/>
        <v>0</v>
      </c>
      <c r="T30" s="8">
        <f t="shared" si="8"/>
        <v>0</v>
      </c>
      <c r="U30" s="8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Asher</dc:creator>
  <cp:lastModifiedBy>Hemang Asher</cp:lastModifiedBy>
  <dcterms:created xsi:type="dcterms:W3CDTF">2026-01-25T18:18:29Z</dcterms:created>
  <dcterms:modified xsi:type="dcterms:W3CDTF">2026-05-12T18:37:16Z</dcterms:modified>
</cp:coreProperties>
</file>